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2026-2027\AW26 order sh\Bedsheet\"/>
    </mc:Choice>
  </mc:AlternateContent>
  <xr:revisionPtr revIDLastSave="0" documentId="13_ncr:1_{66152715-8FF6-44A1-ADB7-2660696BD251}" xr6:coauthVersionLast="47" xr6:coauthVersionMax="47" xr10:uidLastSave="{00000000-0000-0000-0000-000000000000}"/>
  <bookViews>
    <workbookView xWindow="-108" yWindow="-108" windowWidth="23256" windowHeight="12456" xr2:uid="{A010631E-842D-4BD9-B690-2DCC0DC746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9" i="1" l="1"/>
  <c r="AA49" i="1" s="1"/>
  <c r="AB49" i="1"/>
  <c r="AA4" i="1"/>
  <c r="AB4" i="1"/>
  <c r="AA5" i="1"/>
  <c r="AB5" i="1"/>
  <c r="AA6" i="1"/>
  <c r="AB6" i="1"/>
  <c r="AA7" i="1"/>
  <c r="AB7" i="1"/>
  <c r="AA8" i="1"/>
  <c r="AB8" i="1"/>
  <c r="AA9" i="1"/>
  <c r="AB9" i="1"/>
  <c r="AA10" i="1"/>
  <c r="AB10" i="1"/>
  <c r="AA11" i="1"/>
  <c r="AB11" i="1"/>
  <c r="AA12" i="1"/>
  <c r="AB12" i="1"/>
  <c r="AA13" i="1"/>
  <c r="AB13" i="1"/>
  <c r="AA14" i="1"/>
  <c r="AB14" i="1"/>
  <c r="AA15" i="1"/>
  <c r="AB15" i="1"/>
  <c r="AA17" i="1"/>
  <c r="AB17" i="1"/>
  <c r="AA18" i="1"/>
  <c r="AB18" i="1"/>
  <c r="AA19" i="1"/>
  <c r="AB19" i="1"/>
  <c r="AA21" i="1"/>
  <c r="AB21" i="1"/>
  <c r="AA22" i="1"/>
  <c r="AB22" i="1"/>
  <c r="AA23" i="1"/>
  <c r="AB23" i="1"/>
  <c r="AA24" i="1"/>
  <c r="AB24" i="1"/>
  <c r="AA25" i="1"/>
  <c r="AB25" i="1"/>
  <c r="AA26" i="1"/>
  <c r="AB26" i="1"/>
  <c r="AA28" i="1"/>
  <c r="AB28" i="1"/>
  <c r="AA29" i="1"/>
  <c r="AB29" i="1"/>
  <c r="AA30" i="1"/>
  <c r="AB30" i="1"/>
  <c r="AA32" i="1"/>
  <c r="AB32" i="1"/>
  <c r="AA33" i="1"/>
  <c r="AB33" i="1"/>
  <c r="AA34" i="1"/>
  <c r="AB34" i="1"/>
  <c r="AA35" i="1"/>
  <c r="AB35" i="1"/>
  <c r="AA36" i="1"/>
  <c r="AB36" i="1"/>
  <c r="AA37" i="1"/>
  <c r="AB37" i="1"/>
  <c r="AA39" i="1"/>
  <c r="AB39" i="1"/>
  <c r="AA40" i="1"/>
  <c r="AB40" i="1"/>
  <c r="AA41" i="1"/>
  <c r="AB41" i="1"/>
  <c r="AA42" i="1"/>
  <c r="AB42" i="1"/>
  <c r="AA43" i="1"/>
  <c r="AB43" i="1"/>
  <c r="AA44" i="1"/>
  <c r="AB44" i="1"/>
  <c r="AA45" i="1"/>
  <c r="AB45" i="1"/>
  <c r="AA46" i="1"/>
  <c r="AB46" i="1"/>
  <c r="AA47" i="1"/>
  <c r="AB47" i="1"/>
  <c r="AA48" i="1"/>
  <c r="AB48" i="1"/>
  <c r="AB3" i="1"/>
  <c r="AA3" i="1"/>
  <c r="W22" i="1"/>
  <c r="Z5" i="1"/>
  <c r="Z8" i="1"/>
  <c r="Z10" i="1"/>
  <c r="Z11" i="1"/>
  <c r="Z17" i="1"/>
  <c r="Z18" i="1"/>
  <c r="Z22" i="1"/>
  <c r="Z24" i="1"/>
  <c r="Z28" i="1"/>
  <c r="Z29" i="1"/>
  <c r="Z3" i="1"/>
  <c r="Z49" i="1" s="1"/>
  <c r="Y24" i="1"/>
  <c r="U48" i="1"/>
  <c r="W48" i="1" s="1"/>
  <c r="U47" i="1"/>
  <c r="W47" i="1" s="1"/>
  <c r="Q47" i="1"/>
  <c r="U46" i="1"/>
  <c r="Q46" i="1"/>
  <c r="U45" i="1"/>
  <c r="Q45" i="1"/>
  <c r="U44" i="1"/>
  <c r="W44" i="1" s="1"/>
  <c r="X44" i="1" s="1"/>
  <c r="Q44" i="1"/>
  <c r="U43" i="1"/>
  <c r="Q43" i="1"/>
  <c r="U42" i="1"/>
  <c r="W42" i="1" s="1"/>
  <c r="X42" i="1" s="1"/>
  <c r="Q42" i="1"/>
  <c r="U41" i="1"/>
  <c r="Q41" i="1"/>
  <c r="U40" i="1"/>
  <c r="W40" i="1" s="1"/>
  <c r="Q40" i="1"/>
  <c r="U39" i="1"/>
  <c r="Q39" i="1"/>
  <c r="U38" i="1"/>
  <c r="U37" i="1"/>
  <c r="U36" i="1"/>
  <c r="U35" i="1"/>
  <c r="U34" i="1"/>
  <c r="U33" i="1"/>
  <c r="U32" i="1"/>
  <c r="Q32" i="1"/>
  <c r="U31" i="1"/>
  <c r="X31" i="1" s="1"/>
  <c r="U30" i="1"/>
  <c r="Q30" i="1"/>
  <c r="U29" i="1"/>
  <c r="U28" i="1"/>
  <c r="U27" i="1"/>
  <c r="Q27" i="1"/>
  <c r="U26" i="1"/>
  <c r="Q26" i="1"/>
  <c r="U25" i="1"/>
  <c r="W25" i="1" s="1"/>
  <c r="Q25" i="1"/>
  <c r="U24" i="1"/>
  <c r="Q24" i="1"/>
  <c r="U23" i="1"/>
  <c r="Q23" i="1"/>
  <c r="U22" i="1"/>
  <c r="U21" i="1"/>
  <c r="U20" i="1"/>
  <c r="Q20" i="1"/>
  <c r="U19" i="1"/>
  <c r="Q19" i="1"/>
  <c r="U18" i="1"/>
  <c r="Q18" i="1"/>
  <c r="U17" i="1"/>
  <c r="W17" i="1" s="1"/>
  <c r="Q17" i="1"/>
  <c r="U16" i="1"/>
  <c r="U15" i="1"/>
  <c r="W15" i="1" s="1"/>
  <c r="Q15" i="1"/>
  <c r="U14" i="1"/>
  <c r="U13" i="1"/>
  <c r="W13" i="1" s="1"/>
  <c r="X13" i="1" s="1"/>
  <c r="U12" i="1"/>
  <c r="U11" i="1"/>
  <c r="Q11" i="1"/>
  <c r="U10" i="1"/>
  <c r="Q10" i="1"/>
  <c r="U9" i="1"/>
  <c r="U8" i="1"/>
  <c r="W8" i="1" s="1"/>
  <c r="U7" i="1"/>
  <c r="W7" i="1" s="1"/>
  <c r="U6" i="1"/>
  <c r="U5" i="1"/>
  <c r="W5" i="1" s="1"/>
  <c r="U4" i="1"/>
  <c r="W4" i="1" s="1"/>
  <c r="U3" i="1"/>
  <c r="W3" i="1" s="1"/>
  <c r="X36" i="1" l="1"/>
  <c r="X47" i="1"/>
  <c r="X5" i="1"/>
  <c r="X25" i="1"/>
  <c r="W10" i="1"/>
  <c r="X7" i="1"/>
  <c r="X4" i="1"/>
  <c r="W9" i="1"/>
  <c r="W29" i="1"/>
  <c r="W11" i="1"/>
  <c r="X15" i="1"/>
  <c r="X40" i="1"/>
  <c r="X48" i="1"/>
  <c r="W24" i="1"/>
  <c r="W26" i="1"/>
  <c r="W45" i="1"/>
  <c r="X8" i="1"/>
  <c r="W12" i="1"/>
  <c r="X17" i="1"/>
  <c r="W19" i="1"/>
  <c r="X3" i="1"/>
  <c r="W6" i="1"/>
  <c r="W14" i="1"/>
  <c r="W46" i="1"/>
  <c r="W18" i="1"/>
  <c r="W28" i="1"/>
  <c r="W49" i="1" l="1"/>
  <c r="X32" i="1"/>
  <c r="X43" i="1"/>
  <c r="X10" i="1"/>
  <c r="X20" i="1"/>
  <c r="X46" i="1"/>
  <c r="X19" i="1"/>
  <c r="X34" i="1"/>
  <c r="X24" i="1"/>
  <c r="X29" i="1"/>
  <c r="X28" i="1"/>
  <c r="X21" i="1"/>
  <c r="X12" i="1"/>
  <c r="X18" i="1"/>
  <c r="X37" i="1"/>
  <c r="X6" i="1"/>
  <c r="X38" i="1"/>
  <c r="X14" i="1"/>
  <c r="X41" i="1"/>
  <c r="X35" i="1"/>
  <c r="X11" i="1"/>
  <c r="X45" i="1"/>
  <c r="X16" i="1"/>
  <c r="X23" i="1"/>
  <c r="X22" i="1"/>
  <c r="X30" i="1"/>
  <c r="X9" i="1"/>
  <c r="X39" i="1"/>
  <c r="X33" i="1"/>
  <c r="X26" i="1"/>
  <c r="X49" i="1" l="1"/>
</calcChain>
</file>

<file path=xl/sharedStrings.xml><?xml version="1.0" encoding="utf-8"?>
<sst xmlns="http://schemas.openxmlformats.org/spreadsheetml/2006/main" count="380" uniqueCount="94">
  <si>
    <t>Qty</t>
  </si>
  <si>
    <t>Brand</t>
  </si>
  <si>
    <t>TC</t>
  </si>
  <si>
    <t>Size</t>
  </si>
  <si>
    <t>Units</t>
  </si>
  <si>
    <t>BS Size</t>
  </si>
  <si>
    <t>Pillow Size</t>
  </si>
  <si>
    <t>Pillow Stitching Style</t>
  </si>
  <si>
    <t>Product</t>
  </si>
  <si>
    <t>Print Style</t>
  </si>
  <si>
    <t>Bale Size</t>
  </si>
  <si>
    <t>Color</t>
  </si>
  <si>
    <t>Aug - Sep Delivery</t>
  </si>
  <si>
    <t>Sep - Oct Delivery</t>
  </si>
  <si>
    <t>No of Design</t>
  </si>
  <si>
    <t xml:space="preserve">MRP </t>
  </si>
  <si>
    <t>Perceived</t>
  </si>
  <si>
    <t>Selling Price</t>
  </si>
  <si>
    <t xml:space="preserve">Retailer Margin </t>
  </si>
  <si>
    <t>AWD Mark up on Exmill</t>
  </si>
  <si>
    <t>ExMill Price</t>
  </si>
  <si>
    <t>Min bale pack</t>
  </si>
  <si>
    <t>Aster</t>
  </si>
  <si>
    <t>DB BS</t>
  </si>
  <si>
    <t>1+2</t>
  </si>
  <si>
    <t>224 X 244</t>
  </si>
  <si>
    <t>46 X 69</t>
  </si>
  <si>
    <t>Line Stitch</t>
  </si>
  <si>
    <t>Sheet Sets</t>
  </si>
  <si>
    <t>Pigment</t>
  </si>
  <si>
    <t>Bluemen</t>
  </si>
  <si>
    <t>SB BS</t>
  </si>
  <si>
    <t>1+1</t>
  </si>
  <si>
    <t>140 X 224</t>
  </si>
  <si>
    <t>ZigZag</t>
  </si>
  <si>
    <t>224 X 254</t>
  </si>
  <si>
    <t>Cardinal</t>
  </si>
  <si>
    <t>150 X 224</t>
  </si>
  <si>
    <t>KS BS</t>
  </si>
  <si>
    <t>274 X 274</t>
  </si>
  <si>
    <t>Epigram</t>
  </si>
  <si>
    <t>Floral Fiesta</t>
  </si>
  <si>
    <t>150 X 228</t>
  </si>
  <si>
    <t>228 X 254</t>
  </si>
  <si>
    <t>KB FS</t>
  </si>
  <si>
    <t>183x198x30</t>
  </si>
  <si>
    <t>KB Fitted Sheet</t>
  </si>
  <si>
    <t>DB FS</t>
  </si>
  <si>
    <t>152x198x30</t>
  </si>
  <si>
    <t>DB Fitted Sheet</t>
  </si>
  <si>
    <t>Florentine</t>
  </si>
  <si>
    <t>Florentine / Allure</t>
  </si>
  <si>
    <t>46 x 69</t>
  </si>
  <si>
    <t>Vintage</t>
  </si>
  <si>
    <t>2+2</t>
  </si>
  <si>
    <t>152 X 228</t>
  </si>
  <si>
    <t>274 x 274</t>
  </si>
  <si>
    <t>525B</t>
  </si>
  <si>
    <t>229 x 274</t>
  </si>
  <si>
    <t>Wonder Land- Kids</t>
  </si>
  <si>
    <t>DB Comf</t>
  </si>
  <si>
    <t>224 x 254</t>
  </si>
  <si>
    <t>Wadding 150 Gsm</t>
  </si>
  <si>
    <t>Comforter</t>
  </si>
  <si>
    <t>Sage</t>
  </si>
  <si>
    <t>Thyme</t>
  </si>
  <si>
    <t>Toiel</t>
  </si>
  <si>
    <t xml:space="preserve">Marrowing </t>
  </si>
  <si>
    <t>AKIRA</t>
  </si>
  <si>
    <t>Digital</t>
  </si>
  <si>
    <t>Rigel Living</t>
  </si>
  <si>
    <t>1+4</t>
  </si>
  <si>
    <t>Ethnicity</t>
  </si>
  <si>
    <t>Grid Space</t>
  </si>
  <si>
    <t>Bela Twill</t>
  </si>
  <si>
    <t>Celebareting India</t>
  </si>
  <si>
    <t>Cotton Comforts</t>
  </si>
  <si>
    <t>150 x 274</t>
  </si>
  <si>
    <t>Bleached</t>
  </si>
  <si>
    <t>DBL BS</t>
  </si>
  <si>
    <t>FLORA</t>
  </si>
  <si>
    <t>224 x 244</t>
  </si>
  <si>
    <t>150 x 224</t>
  </si>
  <si>
    <t>Beaucale</t>
  </si>
  <si>
    <t>DYED</t>
  </si>
  <si>
    <t>ECSTASY</t>
  </si>
  <si>
    <t>Jade ( Dobby Stripe)</t>
  </si>
  <si>
    <t>No of Bales</t>
  </si>
  <si>
    <t>AWD Value</t>
  </si>
  <si>
    <t>Bedsheet Booking form Jun-26</t>
  </si>
  <si>
    <t>Add</t>
  </si>
  <si>
    <t>Value</t>
  </si>
  <si>
    <t>Additional Order Qty</t>
  </si>
  <si>
    <t>Additional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</si>
</sst>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0.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9"/>
      <color theme="1"/>
      <name val="Aptos Narrow"/>
      <family val="2"/>
    </font>
    <font>
      <b/>
      <sz val="9"/>
      <color rgb="FFFF0000"/>
      <name val="Aptos Narrow"/>
      <family val="2"/>
    </font>
    <font>
      <b/>
      <sz val="9"/>
      <color theme="1"/>
      <name val="Aptos Narrow"/>
      <family val="2"/>
    </font>
    <font>
      <b/>
      <sz val="9"/>
      <color rgb="FF000000"/>
      <name val="Aptos Narrow"/>
      <family val="2"/>
    </font>
    <font>
      <sz val="9"/>
      <color rgb="FF000000"/>
      <name val="Aptos Narrow"/>
      <family val="2"/>
    </font>
    <font>
      <sz val="9"/>
      <name val="Aptos Narrow"/>
      <family val="2"/>
    </font>
    <font>
      <sz val="16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</cellStyleXfs>
  <cellXfs count="51">
    <xf numFmtId="0" fontId="0" fillId="0" borderId="0" xfId="0"/>
    <xf numFmtId="2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9" fontId="5" fillId="0" borderId="1" xfId="3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9" fontId="5" fillId="0" borderId="3" xfId="3" applyNumberFormat="1" applyFont="1" applyFill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2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5" fillId="0" borderId="8" xfId="2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43" fontId="3" fillId="0" borderId="3" xfId="1" applyFont="1" applyFill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43" fontId="3" fillId="0" borderId="3" xfId="0" applyNumberFormat="1" applyFont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43" fontId="3" fillId="0" borderId="1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</cellXfs>
  <cellStyles count="4">
    <cellStyle name="Comma" xfId="1" builtinId="3"/>
    <cellStyle name="Comma 2" xfId="3" xr:uid="{19AA3727-BA92-43BD-AA0F-9C0456FD7935}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CE0EA-23F4-45F4-A68A-1C01F15984E6}">
  <dimension ref="A1:AB49"/>
  <sheetViews>
    <sheetView tabSelected="1" workbookViewId="0">
      <pane xSplit="11" ySplit="2" topLeftCell="U3" activePane="bottomRight" state="frozen"/>
      <selection pane="topRight" activeCell="L1" sqref="L1"/>
      <selection pane="bottomLeft" activeCell="A3" sqref="A3"/>
      <selection pane="bottomRight" activeCell="Z37" sqref="Z37"/>
    </sheetView>
  </sheetViews>
  <sheetFormatPr defaultColWidth="9.109375" defaultRowHeight="20.100000000000001" customHeight="1" x14ac:dyDescent="0.3"/>
  <cols>
    <col min="1" max="1" width="14.88671875" style="16" bestFit="1" customWidth="1"/>
    <col min="2" max="2" width="7.109375" style="16" customWidth="1"/>
    <col min="3" max="3" width="7.44140625" style="2" bestFit="1" customWidth="1"/>
    <col min="4" max="4" width="5.6640625" style="2" bestFit="1" customWidth="1"/>
    <col min="5" max="5" width="9.33203125" style="2" bestFit="1" customWidth="1"/>
    <col min="6" max="6" width="13.44140625" style="2" bestFit="1" customWidth="1"/>
    <col min="7" max="7" width="10.6640625" style="2" customWidth="1"/>
    <col min="8" max="8" width="11.88671875" style="2" bestFit="1" customWidth="1"/>
    <col min="9" max="9" width="10.6640625" style="2" bestFit="1" customWidth="1"/>
    <col min="10" max="10" width="7.5546875" style="16" customWidth="1"/>
    <col min="11" max="11" width="7.109375" style="16" customWidth="1"/>
    <col min="12" max="12" width="8.6640625" style="16" customWidth="1"/>
    <col min="13" max="14" width="8" style="16" customWidth="1"/>
    <col min="15" max="15" width="8.5546875" style="16" customWidth="1"/>
    <col min="16" max="16" width="10.5546875" style="16" customWidth="1"/>
    <col min="17" max="17" width="9" style="16" customWidth="1"/>
    <col min="18" max="18" width="8.88671875" style="16" customWidth="1"/>
    <col min="19" max="19" width="10.109375" style="16" customWidth="1"/>
    <col min="20" max="20" width="8.5546875" style="16" customWidth="1"/>
    <col min="21" max="21" width="7.33203125" style="17" customWidth="1"/>
    <col min="22" max="22" width="10.33203125" style="2" customWidth="1"/>
    <col min="23" max="23" width="9.109375" style="2" customWidth="1"/>
    <col min="24" max="24" width="13.6640625" style="2" customWidth="1"/>
    <col min="25" max="25" width="9.109375" style="2"/>
    <col min="26" max="26" width="11" style="2" bestFit="1" customWidth="1"/>
    <col min="27" max="27" width="9.109375" style="2"/>
    <col min="28" max="28" width="11" style="2" bestFit="1" customWidth="1"/>
    <col min="29" max="16384" width="9.109375" style="16"/>
  </cols>
  <sheetData>
    <row r="1" spans="1:28" ht="20.100000000000001" customHeight="1" thickBot="1" x14ac:dyDescent="0.35">
      <c r="A1" s="23" t="s">
        <v>89</v>
      </c>
      <c r="B1" s="22"/>
      <c r="C1" s="16"/>
      <c r="R1" s="1"/>
      <c r="V1" s="18"/>
      <c r="W1" s="18"/>
      <c r="X1" s="18"/>
    </row>
    <row r="2" spans="1:28" ht="36.6" thickBot="1" x14ac:dyDescent="0.35">
      <c r="A2" s="36" t="s">
        <v>1</v>
      </c>
      <c r="B2" s="37" t="s">
        <v>2</v>
      </c>
      <c r="C2" s="28" t="s">
        <v>3</v>
      </c>
      <c r="D2" s="38" t="s">
        <v>4</v>
      </c>
      <c r="E2" s="38" t="s">
        <v>5</v>
      </c>
      <c r="F2" s="38" t="s">
        <v>6</v>
      </c>
      <c r="G2" s="28" t="s">
        <v>7</v>
      </c>
      <c r="H2" s="28" t="s">
        <v>8</v>
      </c>
      <c r="I2" s="38" t="s">
        <v>9</v>
      </c>
      <c r="J2" s="39" t="s">
        <v>10</v>
      </c>
      <c r="K2" s="28" t="s">
        <v>11</v>
      </c>
      <c r="L2" s="40" t="s">
        <v>12</v>
      </c>
      <c r="M2" s="40" t="s">
        <v>13</v>
      </c>
      <c r="N2" s="28" t="s">
        <v>14</v>
      </c>
      <c r="O2" s="41" t="s">
        <v>15</v>
      </c>
      <c r="P2" s="28" t="s">
        <v>16</v>
      </c>
      <c r="Q2" s="28" t="s">
        <v>17</v>
      </c>
      <c r="R2" s="28" t="s">
        <v>18</v>
      </c>
      <c r="S2" s="28" t="s">
        <v>19</v>
      </c>
      <c r="T2" s="41" t="s">
        <v>20</v>
      </c>
      <c r="U2" s="42" t="s">
        <v>21</v>
      </c>
      <c r="V2" s="27" t="s">
        <v>87</v>
      </c>
      <c r="W2" s="28" t="s">
        <v>0</v>
      </c>
      <c r="X2" s="28" t="s">
        <v>88</v>
      </c>
      <c r="Y2" s="38" t="s">
        <v>90</v>
      </c>
      <c r="Z2" s="38" t="s">
        <v>91</v>
      </c>
      <c r="AA2" s="28" t="s">
        <v>92</v>
      </c>
      <c r="AB2" s="43" t="s">
        <v>93</v>
      </c>
    </row>
    <row r="3" spans="1:28" ht="20.100000000000001" customHeight="1" x14ac:dyDescent="0.3">
      <c r="A3" s="29" t="s">
        <v>22</v>
      </c>
      <c r="B3" s="26">
        <v>100</v>
      </c>
      <c r="C3" s="26" t="s">
        <v>23</v>
      </c>
      <c r="D3" s="26" t="s">
        <v>24</v>
      </c>
      <c r="E3" s="26" t="s">
        <v>25</v>
      </c>
      <c r="F3" s="26" t="s">
        <v>26</v>
      </c>
      <c r="G3" s="26" t="s">
        <v>27</v>
      </c>
      <c r="H3" s="26" t="s">
        <v>28</v>
      </c>
      <c r="I3" s="26" t="s">
        <v>29</v>
      </c>
      <c r="J3" s="26">
        <v>18</v>
      </c>
      <c r="K3" s="26">
        <v>3</v>
      </c>
      <c r="L3" s="30">
        <v>6</v>
      </c>
      <c r="M3" s="30">
        <v>6</v>
      </c>
      <c r="N3" s="26">
        <v>12</v>
      </c>
      <c r="O3" s="31">
        <v>1199</v>
      </c>
      <c r="P3" s="26"/>
      <c r="Q3" s="32">
        <v>1049</v>
      </c>
      <c r="R3" s="33">
        <v>0.3</v>
      </c>
      <c r="S3" s="33">
        <v>0.18</v>
      </c>
      <c r="T3" s="34">
        <v>625</v>
      </c>
      <c r="U3" s="35">
        <f t="shared" ref="U3:U48" si="0">J3*N3</f>
        <v>216</v>
      </c>
      <c r="V3" s="26">
        <v>8</v>
      </c>
      <c r="W3" s="26">
        <f t="shared" ref="W3:W48" si="1">U3*V3</f>
        <v>1728</v>
      </c>
      <c r="X3" s="44">
        <f t="shared" ref="X3:X48" si="2">W3*T3</f>
        <v>1080000</v>
      </c>
      <c r="Y3" s="26">
        <v>1728</v>
      </c>
      <c r="Z3" s="45">
        <f>Y3*T3</f>
        <v>1080000</v>
      </c>
      <c r="AA3" s="26">
        <f>W3+Y3</f>
        <v>3456</v>
      </c>
      <c r="AB3" s="46">
        <f>X3+Z3</f>
        <v>2160000</v>
      </c>
    </row>
    <row r="4" spans="1:28" ht="20.100000000000001" customHeight="1" x14ac:dyDescent="0.3">
      <c r="A4" s="4" t="s">
        <v>30</v>
      </c>
      <c r="B4" s="5">
        <v>104</v>
      </c>
      <c r="C4" s="5" t="s">
        <v>31</v>
      </c>
      <c r="D4" s="5" t="s">
        <v>32</v>
      </c>
      <c r="E4" s="5" t="s">
        <v>33</v>
      </c>
      <c r="F4" s="5" t="s">
        <v>26</v>
      </c>
      <c r="G4" s="5" t="s">
        <v>34</v>
      </c>
      <c r="H4" s="5" t="s">
        <v>28</v>
      </c>
      <c r="I4" s="5" t="s">
        <v>29</v>
      </c>
      <c r="J4" s="5">
        <v>24</v>
      </c>
      <c r="K4" s="5">
        <v>3</v>
      </c>
      <c r="L4" s="6"/>
      <c r="M4" s="6">
        <v>6</v>
      </c>
      <c r="N4" s="5">
        <v>6</v>
      </c>
      <c r="O4" s="7">
        <v>869</v>
      </c>
      <c r="P4" s="5"/>
      <c r="Q4" s="8">
        <v>799</v>
      </c>
      <c r="R4" s="9">
        <v>0.3</v>
      </c>
      <c r="S4" s="9">
        <v>0.18</v>
      </c>
      <c r="T4" s="10">
        <v>451</v>
      </c>
      <c r="U4" s="24">
        <f t="shared" si="0"/>
        <v>144</v>
      </c>
      <c r="V4" s="5">
        <v>2</v>
      </c>
      <c r="W4" s="5">
        <f t="shared" si="1"/>
        <v>288</v>
      </c>
      <c r="X4" s="47">
        <f t="shared" si="2"/>
        <v>129888</v>
      </c>
      <c r="Y4" s="5"/>
      <c r="Z4" s="48"/>
      <c r="AA4" s="5">
        <f t="shared" ref="AA4:AA49" si="3">W4+Y4</f>
        <v>288</v>
      </c>
      <c r="AB4" s="49">
        <f t="shared" ref="AB4:AB48" si="4">X4+Z4</f>
        <v>129888</v>
      </c>
    </row>
    <row r="5" spans="1:28" ht="20.100000000000001" customHeight="1" x14ac:dyDescent="0.3">
      <c r="A5" s="4" t="s">
        <v>30</v>
      </c>
      <c r="B5" s="5">
        <v>104</v>
      </c>
      <c r="C5" s="5" t="s">
        <v>23</v>
      </c>
      <c r="D5" s="5" t="s">
        <v>24</v>
      </c>
      <c r="E5" s="5" t="s">
        <v>35</v>
      </c>
      <c r="F5" s="5" t="s">
        <v>26</v>
      </c>
      <c r="G5" s="5" t="s">
        <v>34</v>
      </c>
      <c r="H5" s="5" t="s">
        <v>28</v>
      </c>
      <c r="I5" s="5" t="s">
        <v>29</v>
      </c>
      <c r="J5" s="5">
        <v>18</v>
      </c>
      <c r="K5" s="5">
        <v>3</v>
      </c>
      <c r="L5" s="6"/>
      <c r="M5" s="6">
        <v>6</v>
      </c>
      <c r="N5" s="5">
        <v>6</v>
      </c>
      <c r="O5" s="7">
        <v>1349</v>
      </c>
      <c r="P5" s="5"/>
      <c r="Q5" s="8">
        <v>1299</v>
      </c>
      <c r="R5" s="9">
        <v>0.3</v>
      </c>
      <c r="S5" s="9">
        <v>0.18</v>
      </c>
      <c r="T5" s="10">
        <v>734</v>
      </c>
      <c r="U5" s="24">
        <f t="shared" si="0"/>
        <v>108</v>
      </c>
      <c r="V5" s="5">
        <v>8</v>
      </c>
      <c r="W5" s="5">
        <f t="shared" si="1"/>
        <v>864</v>
      </c>
      <c r="X5" s="47">
        <f t="shared" si="2"/>
        <v>634176</v>
      </c>
      <c r="Y5" s="5">
        <v>864</v>
      </c>
      <c r="Z5" s="48">
        <f t="shared" ref="Z5:Z29" si="5">Y5*T5</f>
        <v>634176</v>
      </c>
      <c r="AA5" s="5">
        <f t="shared" si="3"/>
        <v>1728</v>
      </c>
      <c r="AB5" s="49">
        <f t="shared" si="4"/>
        <v>1268352</v>
      </c>
    </row>
    <row r="6" spans="1:28" ht="20.100000000000001" customHeight="1" x14ac:dyDescent="0.3">
      <c r="A6" s="4" t="s">
        <v>36</v>
      </c>
      <c r="B6" s="5">
        <v>120</v>
      </c>
      <c r="C6" s="5" t="s">
        <v>31</v>
      </c>
      <c r="D6" s="5" t="s">
        <v>32</v>
      </c>
      <c r="E6" s="5" t="s">
        <v>37</v>
      </c>
      <c r="F6" s="5" t="s">
        <v>26</v>
      </c>
      <c r="G6" s="5" t="s">
        <v>34</v>
      </c>
      <c r="H6" s="5" t="s">
        <v>28</v>
      </c>
      <c r="I6" s="5" t="s">
        <v>29</v>
      </c>
      <c r="J6" s="5">
        <v>24</v>
      </c>
      <c r="K6" s="5">
        <v>3</v>
      </c>
      <c r="L6" s="6">
        <v>6</v>
      </c>
      <c r="M6" s="6"/>
      <c r="N6" s="5">
        <v>6</v>
      </c>
      <c r="O6" s="7">
        <v>989</v>
      </c>
      <c r="P6" s="5"/>
      <c r="Q6" s="8">
        <v>949</v>
      </c>
      <c r="R6" s="9">
        <v>0.3</v>
      </c>
      <c r="S6" s="9">
        <v>0.18</v>
      </c>
      <c r="T6" s="10">
        <v>536</v>
      </c>
      <c r="U6" s="24">
        <f t="shared" si="0"/>
        <v>144</v>
      </c>
      <c r="V6" s="5">
        <v>2</v>
      </c>
      <c r="W6" s="5">
        <f t="shared" si="1"/>
        <v>288</v>
      </c>
      <c r="X6" s="47">
        <f t="shared" si="2"/>
        <v>154368</v>
      </c>
      <c r="Y6" s="5"/>
      <c r="Z6" s="48"/>
      <c r="AA6" s="5">
        <f t="shared" si="3"/>
        <v>288</v>
      </c>
      <c r="AB6" s="49">
        <f t="shared" si="4"/>
        <v>154368</v>
      </c>
    </row>
    <row r="7" spans="1:28" ht="20.100000000000001" customHeight="1" x14ac:dyDescent="0.3">
      <c r="A7" s="4" t="s">
        <v>36</v>
      </c>
      <c r="B7" s="5">
        <v>120</v>
      </c>
      <c r="C7" s="5" t="s">
        <v>23</v>
      </c>
      <c r="D7" s="5" t="s">
        <v>24</v>
      </c>
      <c r="E7" s="5" t="s">
        <v>35</v>
      </c>
      <c r="F7" s="5" t="s">
        <v>26</v>
      </c>
      <c r="G7" s="5" t="s">
        <v>34</v>
      </c>
      <c r="H7" s="5" t="s">
        <v>28</v>
      </c>
      <c r="I7" s="5" t="s">
        <v>29</v>
      </c>
      <c r="J7" s="5">
        <v>18</v>
      </c>
      <c r="K7" s="5">
        <v>3</v>
      </c>
      <c r="L7" s="6">
        <v>6</v>
      </c>
      <c r="M7" s="6"/>
      <c r="N7" s="5">
        <v>6</v>
      </c>
      <c r="O7" s="7">
        <v>1549</v>
      </c>
      <c r="P7" s="5"/>
      <c r="Q7" s="8">
        <v>1499</v>
      </c>
      <c r="R7" s="9">
        <v>0.3</v>
      </c>
      <c r="S7" s="9">
        <v>0.18</v>
      </c>
      <c r="T7" s="10">
        <v>847</v>
      </c>
      <c r="U7" s="24">
        <f t="shared" si="0"/>
        <v>108</v>
      </c>
      <c r="V7" s="5">
        <v>4</v>
      </c>
      <c r="W7" s="5">
        <f t="shared" si="1"/>
        <v>432</v>
      </c>
      <c r="X7" s="47">
        <f t="shared" si="2"/>
        <v>365904</v>
      </c>
      <c r="Y7" s="5"/>
      <c r="Z7" s="48"/>
      <c r="AA7" s="5">
        <f t="shared" si="3"/>
        <v>432</v>
      </c>
      <c r="AB7" s="49">
        <f t="shared" si="4"/>
        <v>365904</v>
      </c>
    </row>
    <row r="8" spans="1:28" ht="20.100000000000001" customHeight="1" x14ac:dyDescent="0.3">
      <c r="A8" s="4" t="s">
        <v>36</v>
      </c>
      <c r="B8" s="5">
        <v>120</v>
      </c>
      <c r="C8" s="5" t="s">
        <v>38</v>
      </c>
      <c r="D8" s="5" t="s">
        <v>24</v>
      </c>
      <c r="E8" s="5" t="s">
        <v>39</v>
      </c>
      <c r="F8" s="5" t="s">
        <v>26</v>
      </c>
      <c r="G8" s="5" t="s">
        <v>34</v>
      </c>
      <c r="H8" s="5" t="s">
        <v>28</v>
      </c>
      <c r="I8" s="5" t="s">
        <v>29</v>
      </c>
      <c r="J8" s="5">
        <v>12</v>
      </c>
      <c r="K8" s="5">
        <v>3</v>
      </c>
      <c r="L8" s="6">
        <v>6</v>
      </c>
      <c r="M8" s="6"/>
      <c r="N8" s="5">
        <v>6</v>
      </c>
      <c r="O8" s="7">
        <v>1949</v>
      </c>
      <c r="P8" s="5"/>
      <c r="Q8" s="8">
        <v>1899</v>
      </c>
      <c r="R8" s="9">
        <v>0.3</v>
      </c>
      <c r="S8" s="9">
        <v>0.18</v>
      </c>
      <c r="T8" s="10">
        <v>1073</v>
      </c>
      <c r="U8" s="24">
        <f t="shared" si="0"/>
        <v>72</v>
      </c>
      <c r="V8" s="5">
        <v>6</v>
      </c>
      <c r="W8" s="5">
        <f t="shared" si="1"/>
        <v>432</v>
      </c>
      <c r="X8" s="47">
        <f t="shared" si="2"/>
        <v>463536</v>
      </c>
      <c r="Y8" s="5">
        <v>432</v>
      </c>
      <c r="Z8" s="48">
        <f t="shared" si="5"/>
        <v>463536</v>
      </c>
      <c r="AA8" s="5">
        <f t="shared" si="3"/>
        <v>864</v>
      </c>
      <c r="AB8" s="49">
        <f t="shared" si="4"/>
        <v>927072</v>
      </c>
    </row>
    <row r="9" spans="1:28" ht="20.100000000000001" customHeight="1" x14ac:dyDescent="0.3">
      <c r="A9" s="4" t="s">
        <v>40</v>
      </c>
      <c r="B9" s="5">
        <v>120</v>
      </c>
      <c r="C9" s="5" t="s">
        <v>31</v>
      </c>
      <c r="D9" s="5" t="s">
        <v>32</v>
      </c>
      <c r="E9" s="5" t="s">
        <v>37</v>
      </c>
      <c r="F9" s="5" t="s">
        <v>26</v>
      </c>
      <c r="G9" s="5" t="s">
        <v>34</v>
      </c>
      <c r="H9" s="5" t="s">
        <v>28</v>
      </c>
      <c r="I9" s="5" t="s">
        <v>29</v>
      </c>
      <c r="J9" s="5">
        <v>24</v>
      </c>
      <c r="K9" s="5">
        <v>3</v>
      </c>
      <c r="L9" s="6"/>
      <c r="M9" s="6">
        <v>6</v>
      </c>
      <c r="N9" s="5">
        <v>6</v>
      </c>
      <c r="O9" s="7">
        <v>1665</v>
      </c>
      <c r="P9" s="11">
        <v>0.4</v>
      </c>
      <c r="Q9" s="12">
        <v>999</v>
      </c>
      <c r="R9" s="9">
        <v>0.3</v>
      </c>
      <c r="S9" s="9">
        <v>0.18</v>
      </c>
      <c r="T9" s="10">
        <v>564.40677966101703</v>
      </c>
      <c r="U9" s="24">
        <f t="shared" si="0"/>
        <v>144</v>
      </c>
      <c r="V9" s="5">
        <v>2</v>
      </c>
      <c r="W9" s="5">
        <f t="shared" si="1"/>
        <v>288</v>
      </c>
      <c r="X9" s="47">
        <f t="shared" si="2"/>
        <v>162549.1525423729</v>
      </c>
      <c r="Y9" s="5"/>
      <c r="Z9" s="48"/>
      <c r="AA9" s="5">
        <f t="shared" si="3"/>
        <v>288</v>
      </c>
      <c r="AB9" s="49">
        <f t="shared" si="4"/>
        <v>162549.1525423729</v>
      </c>
    </row>
    <row r="10" spans="1:28" ht="20.100000000000001" customHeight="1" x14ac:dyDescent="0.3">
      <c r="A10" s="4" t="s">
        <v>40</v>
      </c>
      <c r="B10" s="5">
        <v>120</v>
      </c>
      <c r="C10" s="5" t="s">
        <v>23</v>
      </c>
      <c r="D10" s="5" t="s">
        <v>24</v>
      </c>
      <c r="E10" s="5" t="s">
        <v>35</v>
      </c>
      <c r="F10" s="5" t="s">
        <v>26</v>
      </c>
      <c r="G10" s="5" t="s">
        <v>34</v>
      </c>
      <c r="H10" s="5" t="s">
        <v>28</v>
      </c>
      <c r="I10" s="5" t="s">
        <v>29</v>
      </c>
      <c r="J10" s="5">
        <v>18</v>
      </c>
      <c r="K10" s="5">
        <v>3</v>
      </c>
      <c r="L10" s="6"/>
      <c r="M10" s="6">
        <v>6</v>
      </c>
      <c r="N10" s="5">
        <v>6</v>
      </c>
      <c r="O10" s="7">
        <v>2799</v>
      </c>
      <c r="P10" s="11">
        <v>0.4</v>
      </c>
      <c r="Q10" s="8">
        <f t="shared" ref="Q10:Q11" si="6">O10-(O10*40%)</f>
        <v>1679.3999999999999</v>
      </c>
      <c r="R10" s="9">
        <v>0.3</v>
      </c>
      <c r="S10" s="9">
        <v>0.18</v>
      </c>
      <c r="T10" s="10">
        <v>948.81355932203383</v>
      </c>
      <c r="U10" s="24">
        <f t="shared" si="0"/>
        <v>108</v>
      </c>
      <c r="V10" s="5">
        <v>4</v>
      </c>
      <c r="W10" s="5">
        <f t="shared" si="1"/>
        <v>432</v>
      </c>
      <c r="X10" s="47">
        <f t="shared" si="2"/>
        <v>409887.45762711862</v>
      </c>
      <c r="Y10" s="5">
        <v>1000</v>
      </c>
      <c r="Z10" s="48">
        <f t="shared" si="5"/>
        <v>948813.55932203378</v>
      </c>
      <c r="AA10" s="5">
        <f t="shared" si="3"/>
        <v>1432</v>
      </c>
      <c r="AB10" s="49">
        <f t="shared" si="4"/>
        <v>1358701.0169491523</v>
      </c>
    </row>
    <row r="11" spans="1:28" ht="20.100000000000001" customHeight="1" x14ac:dyDescent="0.3">
      <c r="A11" s="4" t="s">
        <v>40</v>
      </c>
      <c r="B11" s="5">
        <v>120</v>
      </c>
      <c r="C11" s="5" t="s">
        <v>38</v>
      </c>
      <c r="D11" s="5" t="s">
        <v>24</v>
      </c>
      <c r="E11" s="5" t="s">
        <v>39</v>
      </c>
      <c r="F11" s="5" t="s">
        <v>26</v>
      </c>
      <c r="G11" s="5" t="s">
        <v>34</v>
      </c>
      <c r="H11" s="5" t="s">
        <v>28</v>
      </c>
      <c r="I11" s="5" t="s">
        <v>29</v>
      </c>
      <c r="J11" s="5">
        <v>12</v>
      </c>
      <c r="K11" s="5">
        <v>3</v>
      </c>
      <c r="L11" s="6"/>
      <c r="M11" s="6">
        <v>6</v>
      </c>
      <c r="N11" s="5">
        <v>6</v>
      </c>
      <c r="O11" s="7">
        <v>3299</v>
      </c>
      <c r="P11" s="11">
        <v>0.4</v>
      </c>
      <c r="Q11" s="8">
        <f t="shared" si="6"/>
        <v>1979.3999999999999</v>
      </c>
      <c r="R11" s="9">
        <v>0.3</v>
      </c>
      <c r="S11" s="9">
        <v>0.18</v>
      </c>
      <c r="T11" s="10">
        <v>1118.3050847457628</v>
      </c>
      <c r="U11" s="24">
        <f t="shared" si="0"/>
        <v>72</v>
      </c>
      <c r="V11" s="5">
        <v>6</v>
      </c>
      <c r="W11" s="5">
        <f t="shared" si="1"/>
        <v>432</v>
      </c>
      <c r="X11" s="47">
        <f t="shared" si="2"/>
        <v>483107.79661016952</v>
      </c>
      <c r="Y11" s="5">
        <v>2000</v>
      </c>
      <c r="Z11" s="48">
        <f t="shared" si="5"/>
        <v>2236610.1694915257</v>
      </c>
      <c r="AA11" s="5">
        <f t="shared" si="3"/>
        <v>2432</v>
      </c>
      <c r="AB11" s="49">
        <f t="shared" si="4"/>
        <v>2719717.9661016953</v>
      </c>
    </row>
    <row r="12" spans="1:28" ht="20.100000000000001" customHeight="1" x14ac:dyDescent="0.3">
      <c r="A12" s="4" t="s">
        <v>41</v>
      </c>
      <c r="B12" s="5">
        <v>140</v>
      </c>
      <c r="C12" s="5" t="s">
        <v>31</v>
      </c>
      <c r="D12" s="5" t="s">
        <v>32</v>
      </c>
      <c r="E12" s="5" t="s">
        <v>42</v>
      </c>
      <c r="F12" s="5" t="s">
        <v>26</v>
      </c>
      <c r="G12" s="5" t="s">
        <v>34</v>
      </c>
      <c r="H12" s="5" t="s">
        <v>28</v>
      </c>
      <c r="I12" s="5" t="s">
        <v>29</v>
      </c>
      <c r="J12" s="5">
        <v>24</v>
      </c>
      <c r="K12" s="5">
        <v>3</v>
      </c>
      <c r="L12" s="6">
        <v>6</v>
      </c>
      <c r="M12" s="6"/>
      <c r="N12" s="5">
        <v>6</v>
      </c>
      <c r="O12" s="7">
        <v>1149</v>
      </c>
      <c r="P12" s="5"/>
      <c r="Q12" s="8">
        <v>1099</v>
      </c>
      <c r="R12" s="9">
        <v>0.3</v>
      </c>
      <c r="S12" s="9">
        <v>0.18</v>
      </c>
      <c r="T12" s="10">
        <v>621</v>
      </c>
      <c r="U12" s="24">
        <f t="shared" si="0"/>
        <v>144</v>
      </c>
      <c r="V12" s="5">
        <v>2</v>
      </c>
      <c r="W12" s="5">
        <f t="shared" si="1"/>
        <v>288</v>
      </c>
      <c r="X12" s="47">
        <f t="shared" si="2"/>
        <v>178848</v>
      </c>
      <c r="Y12" s="5"/>
      <c r="Z12" s="48"/>
      <c r="AA12" s="5">
        <f t="shared" si="3"/>
        <v>288</v>
      </c>
      <c r="AB12" s="49">
        <f t="shared" si="4"/>
        <v>178848</v>
      </c>
    </row>
    <row r="13" spans="1:28" ht="20.100000000000001" customHeight="1" x14ac:dyDescent="0.3">
      <c r="A13" s="4" t="s">
        <v>41</v>
      </c>
      <c r="B13" s="5">
        <v>140</v>
      </c>
      <c r="C13" s="5" t="s">
        <v>23</v>
      </c>
      <c r="D13" s="5" t="s">
        <v>24</v>
      </c>
      <c r="E13" s="5" t="s">
        <v>43</v>
      </c>
      <c r="F13" s="5" t="s">
        <v>26</v>
      </c>
      <c r="G13" s="5" t="s">
        <v>34</v>
      </c>
      <c r="H13" s="5" t="s">
        <v>28</v>
      </c>
      <c r="I13" s="5" t="s">
        <v>29</v>
      </c>
      <c r="J13" s="5">
        <v>18</v>
      </c>
      <c r="K13" s="5">
        <v>3</v>
      </c>
      <c r="L13" s="6">
        <v>6</v>
      </c>
      <c r="M13" s="6"/>
      <c r="N13" s="5">
        <v>6</v>
      </c>
      <c r="O13" s="7">
        <v>1829</v>
      </c>
      <c r="P13" s="5"/>
      <c r="Q13" s="8">
        <v>1799</v>
      </c>
      <c r="R13" s="9">
        <v>0.3</v>
      </c>
      <c r="S13" s="9">
        <v>0.18</v>
      </c>
      <c r="T13" s="10">
        <v>1016</v>
      </c>
      <c r="U13" s="24">
        <f t="shared" si="0"/>
        <v>108</v>
      </c>
      <c r="V13" s="5">
        <v>3</v>
      </c>
      <c r="W13" s="5">
        <f t="shared" si="1"/>
        <v>324</v>
      </c>
      <c r="X13" s="47">
        <f t="shared" si="2"/>
        <v>329184</v>
      </c>
      <c r="Y13" s="5"/>
      <c r="Z13" s="48"/>
      <c r="AA13" s="5">
        <f t="shared" si="3"/>
        <v>324</v>
      </c>
      <c r="AB13" s="49">
        <f t="shared" si="4"/>
        <v>329184</v>
      </c>
    </row>
    <row r="14" spans="1:28" ht="20.100000000000001" customHeight="1" x14ac:dyDescent="0.3">
      <c r="A14" s="4" t="s">
        <v>41</v>
      </c>
      <c r="B14" s="5">
        <v>140</v>
      </c>
      <c r="C14" s="5" t="s">
        <v>38</v>
      </c>
      <c r="D14" s="5" t="s">
        <v>24</v>
      </c>
      <c r="E14" s="5" t="s">
        <v>39</v>
      </c>
      <c r="F14" s="5" t="s">
        <v>26</v>
      </c>
      <c r="G14" s="5" t="s">
        <v>34</v>
      </c>
      <c r="H14" s="5" t="s">
        <v>28</v>
      </c>
      <c r="I14" s="5" t="s">
        <v>29</v>
      </c>
      <c r="J14" s="5">
        <v>12</v>
      </c>
      <c r="K14" s="5">
        <v>3</v>
      </c>
      <c r="L14" s="6">
        <v>6</v>
      </c>
      <c r="M14" s="6"/>
      <c r="N14" s="5">
        <v>6</v>
      </c>
      <c r="O14" s="7">
        <v>2199</v>
      </c>
      <c r="P14" s="5"/>
      <c r="Q14" s="8">
        <v>2149</v>
      </c>
      <c r="R14" s="9">
        <v>0.35</v>
      </c>
      <c r="S14" s="9">
        <v>0.18</v>
      </c>
      <c r="T14" s="10">
        <v>1127</v>
      </c>
      <c r="U14" s="24">
        <f t="shared" si="0"/>
        <v>72</v>
      </c>
      <c r="V14" s="5">
        <v>5</v>
      </c>
      <c r="W14" s="5">
        <f t="shared" si="1"/>
        <v>360</v>
      </c>
      <c r="X14" s="47">
        <f t="shared" si="2"/>
        <v>405720</v>
      </c>
      <c r="Y14" s="5"/>
      <c r="Z14" s="48"/>
      <c r="AA14" s="5">
        <f t="shared" si="3"/>
        <v>360</v>
      </c>
      <c r="AB14" s="49">
        <f t="shared" si="4"/>
        <v>405720</v>
      </c>
    </row>
    <row r="15" spans="1:28" ht="20.100000000000001" customHeight="1" x14ac:dyDescent="0.3">
      <c r="A15" s="4" t="s">
        <v>41</v>
      </c>
      <c r="B15" s="5">
        <v>140</v>
      </c>
      <c r="C15" s="3" t="s">
        <v>44</v>
      </c>
      <c r="D15" s="5" t="s">
        <v>24</v>
      </c>
      <c r="E15" s="5" t="s">
        <v>45</v>
      </c>
      <c r="F15" s="5" t="s">
        <v>26</v>
      </c>
      <c r="G15" s="5" t="s">
        <v>34</v>
      </c>
      <c r="H15" s="5" t="s">
        <v>46</v>
      </c>
      <c r="I15" s="5" t="s">
        <v>29</v>
      </c>
      <c r="J15" s="5">
        <v>12</v>
      </c>
      <c r="K15" s="5">
        <v>3</v>
      </c>
      <c r="L15" s="6">
        <v>6</v>
      </c>
      <c r="M15" s="6"/>
      <c r="N15" s="5">
        <v>6</v>
      </c>
      <c r="O15" s="7">
        <v>2099</v>
      </c>
      <c r="P15" s="5"/>
      <c r="Q15" s="8">
        <f t="shared" ref="Q15:Q27" si="7">O15</f>
        <v>2099</v>
      </c>
      <c r="R15" s="9">
        <v>0.35</v>
      </c>
      <c r="S15" s="9">
        <v>0.18</v>
      </c>
      <c r="T15" s="10">
        <v>1101.1702986279258</v>
      </c>
      <c r="U15" s="24">
        <f t="shared" si="0"/>
        <v>72</v>
      </c>
      <c r="V15" s="5">
        <v>1</v>
      </c>
      <c r="W15" s="5">
        <f t="shared" si="1"/>
        <v>72</v>
      </c>
      <c r="X15" s="47">
        <f t="shared" si="2"/>
        <v>79284.261501210654</v>
      </c>
      <c r="Y15" s="5"/>
      <c r="Z15" s="48"/>
      <c r="AA15" s="5">
        <f t="shared" si="3"/>
        <v>72</v>
      </c>
      <c r="AB15" s="49">
        <f t="shared" si="4"/>
        <v>79284.261501210654</v>
      </c>
    </row>
    <row r="16" spans="1:28" ht="20.100000000000001" customHeight="1" x14ac:dyDescent="0.3">
      <c r="A16" s="4" t="s">
        <v>41</v>
      </c>
      <c r="B16" s="5">
        <v>140</v>
      </c>
      <c r="C16" s="3" t="s">
        <v>47</v>
      </c>
      <c r="D16" s="5" t="s">
        <v>24</v>
      </c>
      <c r="E16" s="5" t="s">
        <v>48</v>
      </c>
      <c r="F16" s="5" t="s">
        <v>26</v>
      </c>
      <c r="G16" s="5" t="s">
        <v>34</v>
      </c>
      <c r="H16" s="5" t="s">
        <v>49</v>
      </c>
      <c r="I16" s="5" t="s">
        <v>29</v>
      </c>
      <c r="J16" s="5">
        <v>12</v>
      </c>
      <c r="K16" s="5">
        <v>3</v>
      </c>
      <c r="L16" s="6">
        <v>6</v>
      </c>
      <c r="M16" s="6"/>
      <c r="N16" s="5">
        <v>6</v>
      </c>
      <c r="O16" s="7">
        <v>1999</v>
      </c>
      <c r="P16" s="5"/>
      <c r="Q16" s="8">
        <v>1899</v>
      </c>
      <c r="R16" s="9">
        <v>0.35</v>
      </c>
      <c r="S16" s="9">
        <v>0.18</v>
      </c>
      <c r="T16" s="10">
        <v>996</v>
      </c>
      <c r="U16" s="24">
        <f t="shared" si="0"/>
        <v>72</v>
      </c>
      <c r="V16" s="5">
        <v>1</v>
      </c>
      <c r="W16" s="5"/>
      <c r="X16" s="47">
        <f t="shared" si="2"/>
        <v>0</v>
      </c>
      <c r="Y16" s="5"/>
      <c r="Z16" s="48"/>
      <c r="AA16" s="5"/>
      <c r="AB16" s="49"/>
    </row>
    <row r="17" spans="1:28" ht="20.100000000000001" customHeight="1" x14ac:dyDescent="0.3">
      <c r="A17" s="4" t="s">
        <v>50</v>
      </c>
      <c r="B17" s="5">
        <v>144</v>
      </c>
      <c r="C17" s="5" t="s">
        <v>23</v>
      </c>
      <c r="D17" s="5" t="s">
        <v>24</v>
      </c>
      <c r="E17" s="5" t="s">
        <v>43</v>
      </c>
      <c r="F17" s="5" t="s">
        <v>26</v>
      </c>
      <c r="G17" s="5" t="s">
        <v>34</v>
      </c>
      <c r="H17" s="5" t="s">
        <v>28</v>
      </c>
      <c r="I17" s="5" t="s">
        <v>29</v>
      </c>
      <c r="J17" s="5">
        <v>12</v>
      </c>
      <c r="K17" s="5">
        <v>3</v>
      </c>
      <c r="L17" s="6"/>
      <c r="M17" s="6">
        <v>6</v>
      </c>
      <c r="N17" s="5">
        <v>6</v>
      </c>
      <c r="O17" s="7">
        <v>3199</v>
      </c>
      <c r="P17" s="11">
        <v>0.4</v>
      </c>
      <c r="Q17" s="8">
        <f t="shared" ref="Q17:Q18" si="8">O17-(O17*40%)</f>
        <v>1919.3999999999999</v>
      </c>
      <c r="R17" s="9">
        <v>0.35</v>
      </c>
      <c r="S17" s="9">
        <v>0.18</v>
      </c>
      <c r="T17" s="10">
        <v>1006.9491525423729</v>
      </c>
      <c r="U17" s="24">
        <f t="shared" si="0"/>
        <v>72</v>
      </c>
      <c r="V17" s="5">
        <v>6</v>
      </c>
      <c r="W17" s="5">
        <f t="shared" si="1"/>
        <v>432</v>
      </c>
      <c r="X17" s="47">
        <f t="shared" si="2"/>
        <v>435002.03389830509</v>
      </c>
      <c r="Y17" s="5">
        <v>864</v>
      </c>
      <c r="Z17" s="48">
        <f t="shared" si="5"/>
        <v>870004.06779661018</v>
      </c>
      <c r="AA17" s="5">
        <f t="shared" si="3"/>
        <v>1296</v>
      </c>
      <c r="AB17" s="49">
        <f t="shared" si="4"/>
        <v>1305006.1016949152</v>
      </c>
    </row>
    <row r="18" spans="1:28" ht="20.100000000000001" customHeight="1" x14ac:dyDescent="0.3">
      <c r="A18" s="4" t="s">
        <v>50</v>
      </c>
      <c r="B18" s="5">
        <v>144</v>
      </c>
      <c r="C18" s="5" t="s">
        <v>38</v>
      </c>
      <c r="D18" s="5" t="s">
        <v>24</v>
      </c>
      <c r="E18" s="5" t="s">
        <v>39</v>
      </c>
      <c r="F18" s="5" t="s">
        <v>26</v>
      </c>
      <c r="G18" s="5" t="s">
        <v>34</v>
      </c>
      <c r="H18" s="5" t="s">
        <v>28</v>
      </c>
      <c r="I18" s="5" t="s">
        <v>29</v>
      </c>
      <c r="J18" s="5">
        <v>12</v>
      </c>
      <c r="K18" s="5">
        <v>3</v>
      </c>
      <c r="L18" s="6"/>
      <c r="M18" s="6">
        <v>6</v>
      </c>
      <c r="N18" s="5">
        <v>6</v>
      </c>
      <c r="O18" s="7">
        <v>3799</v>
      </c>
      <c r="P18" s="11">
        <v>0.4</v>
      </c>
      <c r="Q18" s="8">
        <f t="shared" si="8"/>
        <v>2279.3999999999996</v>
      </c>
      <c r="R18" s="9">
        <v>0.35</v>
      </c>
      <c r="S18" s="9">
        <v>0.18</v>
      </c>
      <c r="T18" s="10">
        <v>1195.8111380145276</v>
      </c>
      <c r="U18" s="24">
        <f t="shared" si="0"/>
        <v>72</v>
      </c>
      <c r="V18" s="5">
        <v>6</v>
      </c>
      <c r="W18" s="5">
        <f t="shared" si="1"/>
        <v>432</v>
      </c>
      <c r="X18" s="47">
        <f t="shared" si="2"/>
        <v>516590.41162227595</v>
      </c>
      <c r="Y18" s="5">
        <v>1800</v>
      </c>
      <c r="Z18" s="48">
        <f t="shared" si="5"/>
        <v>2152460.0484261499</v>
      </c>
      <c r="AA18" s="5">
        <f t="shared" si="3"/>
        <v>2232</v>
      </c>
      <c r="AB18" s="49">
        <f t="shared" si="4"/>
        <v>2669050.4600484259</v>
      </c>
    </row>
    <row r="19" spans="1:28" ht="20.100000000000001" customHeight="1" x14ac:dyDescent="0.3">
      <c r="A19" s="4" t="s">
        <v>51</v>
      </c>
      <c r="B19" s="5">
        <v>144</v>
      </c>
      <c r="C19" s="3" t="s">
        <v>44</v>
      </c>
      <c r="D19" s="5" t="s">
        <v>24</v>
      </c>
      <c r="E19" s="5" t="s">
        <v>45</v>
      </c>
      <c r="F19" s="5" t="s">
        <v>52</v>
      </c>
      <c r="G19" s="5" t="s">
        <v>34</v>
      </c>
      <c r="H19" s="5" t="s">
        <v>46</v>
      </c>
      <c r="I19" s="5" t="s">
        <v>29</v>
      </c>
      <c r="J19" s="5">
        <v>12</v>
      </c>
      <c r="K19" s="5">
        <v>3</v>
      </c>
      <c r="L19" s="6"/>
      <c r="M19" s="6">
        <v>6</v>
      </c>
      <c r="N19" s="5">
        <v>6</v>
      </c>
      <c r="O19" s="7">
        <v>2199</v>
      </c>
      <c r="P19" s="5"/>
      <c r="Q19" s="8">
        <f t="shared" si="7"/>
        <v>2199</v>
      </c>
      <c r="R19" s="9">
        <v>0.35</v>
      </c>
      <c r="S19" s="9">
        <v>0.18</v>
      </c>
      <c r="T19" s="10">
        <v>1153.6319612590798</v>
      </c>
      <c r="U19" s="24">
        <f t="shared" si="0"/>
        <v>72</v>
      </c>
      <c r="V19" s="5">
        <v>1</v>
      </c>
      <c r="W19" s="5">
        <f t="shared" si="1"/>
        <v>72</v>
      </c>
      <c r="X19" s="47">
        <f t="shared" si="2"/>
        <v>83061.501210653747</v>
      </c>
      <c r="Y19" s="5"/>
      <c r="Z19" s="48"/>
      <c r="AA19" s="5">
        <f t="shared" si="3"/>
        <v>72</v>
      </c>
      <c r="AB19" s="49">
        <f t="shared" si="4"/>
        <v>83061.501210653747</v>
      </c>
    </row>
    <row r="20" spans="1:28" ht="20.100000000000001" customHeight="1" x14ac:dyDescent="0.3">
      <c r="A20" s="4" t="s">
        <v>51</v>
      </c>
      <c r="B20" s="5">
        <v>144</v>
      </c>
      <c r="C20" s="3" t="s">
        <v>47</v>
      </c>
      <c r="D20" s="5" t="s">
        <v>24</v>
      </c>
      <c r="E20" s="5" t="s">
        <v>48</v>
      </c>
      <c r="F20" s="5" t="s">
        <v>52</v>
      </c>
      <c r="G20" s="5" t="s">
        <v>34</v>
      </c>
      <c r="H20" s="5" t="s">
        <v>49</v>
      </c>
      <c r="I20" s="5" t="s">
        <v>29</v>
      </c>
      <c r="J20" s="5">
        <v>12</v>
      </c>
      <c r="K20" s="5">
        <v>3</v>
      </c>
      <c r="L20" s="6"/>
      <c r="M20" s="6">
        <v>6</v>
      </c>
      <c r="N20" s="5">
        <v>6</v>
      </c>
      <c r="O20" s="7">
        <v>2099</v>
      </c>
      <c r="P20" s="5"/>
      <c r="Q20" s="8">
        <f t="shared" si="7"/>
        <v>2099</v>
      </c>
      <c r="R20" s="9">
        <v>0.35</v>
      </c>
      <c r="S20" s="9">
        <v>0.18</v>
      </c>
      <c r="T20" s="10">
        <v>1101.1702986279258</v>
      </c>
      <c r="U20" s="24">
        <f t="shared" si="0"/>
        <v>72</v>
      </c>
      <c r="V20" s="5">
        <v>1</v>
      </c>
      <c r="W20" s="5"/>
      <c r="X20" s="47">
        <f t="shared" si="2"/>
        <v>0</v>
      </c>
      <c r="Y20" s="5"/>
      <c r="Z20" s="48"/>
      <c r="AA20" s="5"/>
      <c r="AB20" s="49"/>
    </row>
    <row r="21" spans="1:28" ht="20.100000000000001" customHeight="1" x14ac:dyDescent="0.3">
      <c r="A21" s="4" t="s">
        <v>53</v>
      </c>
      <c r="B21" s="5">
        <v>180</v>
      </c>
      <c r="C21" s="5" t="s">
        <v>31</v>
      </c>
      <c r="D21" s="5" t="s">
        <v>54</v>
      </c>
      <c r="E21" s="5" t="s">
        <v>55</v>
      </c>
      <c r="F21" s="5" t="s">
        <v>52</v>
      </c>
      <c r="G21" s="5" t="s">
        <v>34</v>
      </c>
      <c r="H21" s="5" t="s">
        <v>28</v>
      </c>
      <c r="I21" s="5" t="s">
        <v>29</v>
      </c>
      <c r="J21" s="5">
        <v>12</v>
      </c>
      <c r="K21" s="5">
        <v>3</v>
      </c>
      <c r="L21" s="6"/>
      <c r="M21" s="6">
        <v>6</v>
      </c>
      <c r="N21" s="5">
        <v>6</v>
      </c>
      <c r="O21" s="7">
        <v>2499</v>
      </c>
      <c r="P21" s="5"/>
      <c r="Q21" s="8">
        <v>2449</v>
      </c>
      <c r="R21" s="9">
        <v>0.4</v>
      </c>
      <c r="S21" s="9">
        <v>0.18</v>
      </c>
      <c r="T21" s="10">
        <v>1186</v>
      </c>
      <c r="U21" s="24">
        <f t="shared" si="0"/>
        <v>72</v>
      </c>
      <c r="V21" s="5">
        <v>6</v>
      </c>
      <c r="W21" s="5">
        <v>216</v>
      </c>
      <c r="X21" s="47">
        <f t="shared" si="2"/>
        <v>256176</v>
      </c>
      <c r="Y21" s="5"/>
      <c r="Z21" s="48"/>
      <c r="AA21" s="5">
        <f t="shared" si="3"/>
        <v>216</v>
      </c>
      <c r="AB21" s="49">
        <f t="shared" si="4"/>
        <v>256176</v>
      </c>
    </row>
    <row r="22" spans="1:28" ht="20.100000000000001" customHeight="1" x14ac:dyDescent="0.3">
      <c r="A22" s="4" t="s">
        <v>53</v>
      </c>
      <c r="B22" s="5">
        <v>180</v>
      </c>
      <c r="C22" s="5" t="s">
        <v>38</v>
      </c>
      <c r="D22" s="5" t="s">
        <v>24</v>
      </c>
      <c r="E22" s="5" t="s">
        <v>56</v>
      </c>
      <c r="F22" s="5" t="s">
        <v>52</v>
      </c>
      <c r="G22" s="5" t="s">
        <v>34</v>
      </c>
      <c r="H22" s="5" t="s">
        <v>28</v>
      </c>
      <c r="I22" s="5" t="s">
        <v>29</v>
      </c>
      <c r="J22" s="5">
        <v>12</v>
      </c>
      <c r="K22" s="5">
        <v>3</v>
      </c>
      <c r="L22" s="6"/>
      <c r="M22" s="6">
        <v>6</v>
      </c>
      <c r="N22" s="5">
        <v>6</v>
      </c>
      <c r="O22" s="7">
        <v>2999</v>
      </c>
      <c r="P22" s="5"/>
      <c r="Q22" s="8">
        <v>2899</v>
      </c>
      <c r="R22" s="9">
        <v>0.4</v>
      </c>
      <c r="S22" s="9">
        <v>0.18</v>
      </c>
      <c r="T22" s="10">
        <v>1249</v>
      </c>
      <c r="U22" s="24">
        <f t="shared" si="0"/>
        <v>72</v>
      </c>
      <c r="V22" s="5">
        <v>8</v>
      </c>
      <c r="W22" s="5">
        <f t="shared" si="1"/>
        <v>576</v>
      </c>
      <c r="X22" s="47">
        <f t="shared" si="2"/>
        <v>719424</v>
      </c>
      <c r="Y22" s="5">
        <v>576</v>
      </c>
      <c r="Z22" s="48">
        <f t="shared" si="5"/>
        <v>719424</v>
      </c>
      <c r="AA22" s="5">
        <f t="shared" si="3"/>
        <v>1152</v>
      </c>
      <c r="AB22" s="49">
        <f t="shared" si="4"/>
        <v>1438848</v>
      </c>
    </row>
    <row r="23" spans="1:28" ht="20.100000000000001" customHeight="1" x14ac:dyDescent="0.3">
      <c r="A23" s="4" t="s">
        <v>57</v>
      </c>
      <c r="B23" s="5">
        <v>164</v>
      </c>
      <c r="C23" s="5" t="s">
        <v>23</v>
      </c>
      <c r="D23" s="5" t="s">
        <v>24</v>
      </c>
      <c r="E23" s="5" t="s">
        <v>58</v>
      </c>
      <c r="F23" s="5" t="s">
        <v>52</v>
      </c>
      <c r="G23" s="5" t="s">
        <v>34</v>
      </c>
      <c r="H23" s="5" t="s">
        <v>28</v>
      </c>
      <c r="I23" s="5" t="s">
        <v>29</v>
      </c>
      <c r="J23" s="5">
        <v>12</v>
      </c>
      <c r="K23" s="5">
        <v>3</v>
      </c>
      <c r="L23" s="6">
        <v>6</v>
      </c>
      <c r="M23" s="6"/>
      <c r="N23" s="5">
        <v>6</v>
      </c>
      <c r="O23" s="7">
        <v>2499</v>
      </c>
      <c r="P23" s="5"/>
      <c r="Q23" s="8">
        <f t="shared" si="7"/>
        <v>2499</v>
      </c>
      <c r="R23" s="9">
        <v>0.4</v>
      </c>
      <c r="S23" s="9">
        <v>0.18</v>
      </c>
      <c r="T23" s="10">
        <v>1210.1694915254238</v>
      </c>
      <c r="U23" s="24">
        <f t="shared" si="0"/>
        <v>72</v>
      </c>
      <c r="V23" s="5">
        <v>6</v>
      </c>
      <c r="W23" s="5">
        <v>216</v>
      </c>
      <c r="X23" s="47">
        <f t="shared" si="2"/>
        <v>261396.61016949156</v>
      </c>
      <c r="Y23" s="5"/>
      <c r="Z23" s="48"/>
      <c r="AA23" s="5">
        <f t="shared" si="3"/>
        <v>216</v>
      </c>
      <c r="AB23" s="49">
        <f t="shared" si="4"/>
        <v>261396.61016949156</v>
      </c>
    </row>
    <row r="24" spans="1:28" ht="20.100000000000001" customHeight="1" x14ac:dyDescent="0.3">
      <c r="A24" s="4" t="s">
        <v>57</v>
      </c>
      <c r="B24" s="5">
        <v>164</v>
      </c>
      <c r="C24" s="5" t="s">
        <v>38</v>
      </c>
      <c r="D24" s="5" t="s">
        <v>24</v>
      </c>
      <c r="E24" s="5" t="s">
        <v>39</v>
      </c>
      <c r="F24" s="5" t="s">
        <v>52</v>
      </c>
      <c r="G24" s="5" t="s">
        <v>34</v>
      </c>
      <c r="H24" s="5" t="s">
        <v>28</v>
      </c>
      <c r="I24" s="5" t="s">
        <v>29</v>
      </c>
      <c r="J24" s="5">
        <v>12</v>
      </c>
      <c r="K24" s="5">
        <v>3</v>
      </c>
      <c r="L24" s="6">
        <v>6</v>
      </c>
      <c r="M24" s="6"/>
      <c r="N24" s="5">
        <v>6</v>
      </c>
      <c r="O24" s="7">
        <v>3199</v>
      </c>
      <c r="P24" s="5"/>
      <c r="Q24" s="8">
        <f t="shared" si="7"/>
        <v>3199</v>
      </c>
      <c r="R24" s="9">
        <v>0.4</v>
      </c>
      <c r="S24" s="9">
        <v>0.18</v>
      </c>
      <c r="T24" s="10">
        <v>1376</v>
      </c>
      <c r="U24" s="24">
        <f t="shared" si="0"/>
        <v>72</v>
      </c>
      <c r="V24" s="5">
        <v>8</v>
      </c>
      <c r="W24" s="5">
        <f t="shared" si="1"/>
        <v>576</v>
      </c>
      <c r="X24" s="47">
        <f t="shared" si="2"/>
        <v>792576</v>
      </c>
      <c r="Y24" s="5">
        <f>W24/2</f>
        <v>288</v>
      </c>
      <c r="Z24" s="48">
        <f t="shared" si="5"/>
        <v>396288</v>
      </c>
      <c r="AA24" s="5">
        <f t="shared" si="3"/>
        <v>864</v>
      </c>
      <c r="AB24" s="49">
        <f t="shared" si="4"/>
        <v>1188864</v>
      </c>
    </row>
    <row r="25" spans="1:28" ht="20.100000000000001" customHeight="1" x14ac:dyDescent="0.3">
      <c r="A25" s="4" t="s">
        <v>59</v>
      </c>
      <c r="B25" s="5">
        <v>148</v>
      </c>
      <c r="C25" s="5" t="s">
        <v>31</v>
      </c>
      <c r="D25" s="5" t="s">
        <v>32</v>
      </c>
      <c r="E25" s="5" t="s">
        <v>55</v>
      </c>
      <c r="F25" s="5" t="s">
        <v>52</v>
      </c>
      <c r="G25" s="5" t="s">
        <v>34</v>
      </c>
      <c r="H25" s="5" t="s">
        <v>28</v>
      </c>
      <c r="I25" s="5" t="s">
        <v>29</v>
      </c>
      <c r="J25" s="5">
        <v>18</v>
      </c>
      <c r="K25" s="5">
        <v>1</v>
      </c>
      <c r="L25" s="6">
        <v>6</v>
      </c>
      <c r="M25" s="6"/>
      <c r="N25" s="5">
        <v>6</v>
      </c>
      <c r="O25" s="7">
        <v>1449</v>
      </c>
      <c r="P25" s="5"/>
      <c r="Q25" s="8">
        <f t="shared" si="7"/>
        <v>1449</v>
      </c>
      <c r="R25" s="9">
        <v>0.35</v>
      </c>
      <c r="S25" s="9">
        <v>0.18</v>
      </c>
      <c r="T25" s="10">
        <v>760.16949152542372</v>
      </c>
      <c r="U25" s="24">
        <f t="shared" si="0"/>
        <v>108</v>
      </c>
      <c r="V25" s="5">
        <v>2</v>
      </c>
      <c r="W25" s="5">
        <f t="shared" si="1"/>
        <v>216</v>
      </c>
      <c r="X25" s="47">
        <f t="shared" si="2"/>
        <v>164196.61016949153</v>
      </c>
      <c r="Y25" s="5"/>
      <c r="Z25" s="48"/>
      <c r="AA25" s="5">
        <f t="shared" si="3"/>
        <v>216</v>
      </c>
      <c r="AB25" s="49">
        <f t="shared" si="4"/>
        <v>164196.61016949153</v>
      </c>
    </row>
    <row r="26" spans="1:28" ht="20.100000000000001" customHeight="1" x14ac:dyDescent="0.3">
      <c r="A26" s="4" t="s">
        <v>59</v>
      </c>
      <c r="B26" s="5">
        <v>148</v>
      </c>
      <c r="C26" s="5" t="s">
        <v>38</v>
      </c>
      <c r="D26" s="5" t="s">
        <v>24</v>
      </c>
      <c r="E26" s="5" t="s">
        <v>56</v>
      </c>
      <c r="F26" s="5" t="s">
        <v>52</v>
      </c>
      <c r="G26" s="5" t="s">
        <v>34</v>
      </c>
      <c r="H26" s="5" t="s">
        <v>28</v>
      </c>
      <c r="I26" s="5" t="s">
        <v>29</v>
      </c>
      <c r="J26" s="5">
        <v>12</v>
      </c>
      <c r="K26" s="5">
        <v>1</v>
      </c>
      <c r="L26" s="6">
        <v>6</v>
      </c>
      <c r="M26" s="6"/>
      <c r="N26" s="5">
        <v>6</v>
      </c>
      <c r="O26" s="7">
        <v>2499</v>
      </c>
      <c r="P26" s="5"/>
      <c r="Q26" s="8">
        <f t="shared" si="7"/>
        <v>2499</v>
      </c>
      <c r="R26" s="9">
        <v>0.35</v>
      </c>
      <c r="S26" s="9">
        <v>0.18</v>
      </c>
      <c r="T26" s="10">
        <v>1311.0169491525423</v>
      </c>
      <c r="U26" s="24">
        <f t="shared" si="0"/>
        <v>72</v>
      </c>
      <c r="V26" s="5">
        <v>2</v>
      </c>
      <c r="W26" s="5">
        <f t="shared" si="1"/>
        <v>144</v>
      </c>
      <c r="X26" s="47">
        <f t="shared" si="2"/>
        <v>188786.44067796611</v>
      </c>
      <c r="Y26" s="5"/>
      <c r="Z26" s="48"/>
      <c r="AA26" s="5">
        <f t="shared" si="3"/>
        <v>144</v>
      </c>
      <c r="AB26" s="49">
        <f t="shared" si="4"/>
        <v>188786.44067796611</v>
      </c>
    </row>
    <row r="27" spans="1:28" ht="20.100000000000001" customHeight="1" x14ac:dyDescent="0.3">
      <c r="A27" s="4" t="s">
        <v>59</v>
      </c>
      <c r="B27" s="5">
        <v>148</v>
      </c>
      <c r="C27" s="3" t="s">
        <v>60</v>
      </c>
      <c r="D27" s="5">
        <v>1</v>
      </c>
      <c r="E27" s="5" t="s">
        <v>61</v>
      </c>
      <c r="F27" s="5" t="s">
        <v>62</v>
      </c>
      <c r="G27" s="5" t="s">
        <v>34</v>
      </c>
      <c r="H27" s="5" t="s">
        <v>63</v>
      </c>
      <c r="I27" s="5" t="s">
        <v>29</v>
      </c>
      <c r="J27" s="5">
        <v>6</v>
      </c>
      <c r="K27" s="5">
        <v>1</v>
      </c>
      <c r="L27" s="6">
        <v>6</v>
      </c>
      <c r="M27" s="6"/>
      <c r="N27" s="5">
        <v>6</v>
      </c>
      <c r="O27" s="7">
        <v>4999</v>
      </c>
      <c r="P27" s="5"/>
      <c r="Q27" s="8">
        <f t="shared" si="7"/>
        <v>4999</v>
      </c>
      <c r="R27" s="9">
        <v>0.35</v>
      </c>
      <c r="S27" s="9">
        <v>0.18</v>
      </c>
      <c r="T27" s="10">
        <v>2333.6325768457345</v>
      </c>
      <c r="U27" s="24">
        <f t="shared" si="0"/>
        <v>36</v>
      </c>
      <c r="V27" s="5"/>
      <c r="W27" s="5"/>
      <c r="X27" s="47"/>
      <c r="Y27" s="5"/>
      <c r="Z27" s="48"/>
      <c r="AA27" s="5"/>
      <c r="AB27" s="49"/>
    </row>
    <row r="28" spans="1:28" ht="20.100000000000001" customHeight="1" x14ac:dyDescent="0.3">
      <c r="A28" s="4" t="s">
        <v>64</v>
      </c>
      <c r="B28" s="5">
        <v>180</v>
      </c>
      <c r="C28" s="5" t="s">
        <v>38</v>
      </c>
      <c r="D28" s="5" t="s">
        <v>24</v>
      </c>
      <c r="E28" s="5" t="s">
        <v>56</v>
      </c>
      <c r="F28" s="5" t="s">
        <v>52</v>
      </c>
      <c r="G28" s="5" t="s">
        <v>34</v>
      </c>
      <c r="H28" s="5" t="s">
        <v>28</v>
      </c>
      <c r="I28" s="5" t="s">
        <v>29</v>
      </c>
      <c r="J28" s="5">
        <v>12</v>
      </c>
      <c r="K28" s="5">
        <v>1</v>
      </c>
      <c r="L28" s="6">
        <v>6</v>
      </c>
      <c r="M28" s="6"/>
      <c r="N28" s="5">
        <v>6</v>
      </c>
      <c r="O28" s="7">
        <v>4799</v>
      </c>
      <c r="P28" s="11">
        <v>0.4</v>
      </c>
      <c r="Q28" s="8">
        <v>2759</v>
      </c>
      <c r="R28" s="9">
        <v>0.35</v>
      </c>
      <c r="S28" s="9">
        <v>0.18</v>
      </c>
      <c r="T28" s="10">
        <v>1288</v>
      </c>
      <c r="U28" s="24">
        <f t="shared" si="0"/>
        <v>72</v>
      </c>
      <c r="V28" s="5">
        <v>5</v>
      </c>
      <c r="W28" s="5">
        <f t="shared" si="1"/>
        <v>360</v>
      </c>
      <c r="X28" s="47">
        <f t="shared" si="2"/>
        <v>463680</v>
      </c>
      <c r="Y28" s="5">
        <v>1500</v>
      </c>
      <c r="Z28" s="48">
        <f t="shared" si="5"/>
        <v>1932000</v>
      </c>
      <c r="AA28" s="5">
        <f t="shared" si="3"/>
        <v>1860</v>
      </c>
      <c r="AB28" s="49">
        <f t="shared" si="4"/>
        <v>2395680</v>
      </c>
    </row>
    <row r="29" spans="1:28" ht="20.100000000000001" customHeight="1" x14ac:dyDescent="0.3">
      <c r="A29" s="4" t="s">
        <v>65</v>
      </c>
      <c r="B29" s="5">
        <v>210</v>
      </c>
      <c r="C29" s="5" t="s">
        <v>38</v>
      </c>
      <c r="D29" s="5" t="s">
        <v>24</v>
      </c>
      <c r="E29" s="5" t="s">
        <v>56</v>
      </c>
      <c r="F29" s="5" t="s">
        <v>52</v>
      </c>
      <c r="G29" s="5" t="s">
        <v>34</v>
      </c>
      <c r="H29" s="5" t="s">
        <v>28</v>
      </c>
      <c r="I29" s="5" t="s">
        <v>29</v>
      </c>
      <c r="J29" s="5">
        <v>12</v>
      </c>
      <c r="K29" s="5">
        <v>1</v>
      </c>
      <c r="L29" s="6"/>
      <c r="M29" s="6">
        <v>6</v>
      </c>
      <c r="N29" s="5">
        <v>6</v>
      </c>
      <c r="O29" s="7">
        <v>4999</v>
      </c>
      <c r="P29" s="11">
        <v>0.4</v>
      </c>
      <c r="Q29" s="8">
        <v>2939</v>
      </c>
      <c r="R29" s="9">
        <v>0.35</v>
      </c>
      <c r="S29" s="9">
        <v>0.18</v>
      </c>
      <c r="T29" s="10">
        <v>1372</v>
      </c>
      <c r="U29" s="24">
        <f t="shared" si="0"/>
        <v>72</v>
      </c>
      <c r="V29" s="5">
        <v>5</v>
      </c>
      <c r="W29" s="5">
        <f t="shared" si="1"/>
        <v>360</v>
      </c>
      <c r="X29" s="47">
        <f t="shared" si="2"/>
        <v>493920</v>
      </c>
      <c r="Y29" s="5">
        <v>1500</v>
      </c>
      <c r="Z29" s="48">
        <f t="shared" si="5"/>
        <v>2058000</v>
      </c>
      <c r="AA29" s="5">
        <f t="shared" si="3"/>
        <v>1860</v>
      </c>
      <c r="AB29" s="49">
        <f t="shared" si="4"/>
        <v>2551920</v>
      </c>
    </row>
    <row r="30" spans="1:28" ht="20.100000000000001" customHeight="1" x14ac:dyDescent="0.3">
      <c r="A30" s="4" t="s">
        <v>66</v>
      </c>
      <c r="B30" s="5">
        <v>300</v>
      </c>
      <c r="C30" s="5" t="s">
        <v>38</v>
      </c>
      <c r="D30" s="5" t="s">
        <v>24</v>
      </c>
      <c r="E30" s="5" t="s">
        <v>56</v>
      </c>
      <c r="F30" s="5" t="s">
        <v>52</v>
      </c>
      <c r="G30" s="5" t="s">
        <v>67</v>
      </c>
      <c r="H30" s="5" t="s">
        <v>28</v>
      </c>
      <c r="I30" s="5" t="s">
        <v>29</v>
      </c>
      <c r="J30" s="5">
        <v>12</v>
      </c>
      <c r="K30" s="5">
        <v>1</v>
      </c>
      <c r="L30" s="6">
        <v>6</v>
      </c>
      <c r="M30" s="6"/>
      <c r="N30" s="5">
        <v>6</v>
      </c>
      <c r="O30" s="7">
        <v>3699</v>
      </c>
      <c r="P30" s="5"/>
      <c r="Q30" s="8">
        <f>O30</f>
        <v>3699</v>
      </c>
      <c r="R30" s="9">
        <v>0.4</v>
      </c>
      <c r="S30" s="9">
        <v>0.18</v>
      </c>
      <c r="T30" s="10">
        <v>1593.9385234128126</v>
      </c>
      <c r="U30" s="24">
        <f t="shared" si="0"/>
        <v>72</v>
      </c>
      <c r="V30" s="5"/>
      <c r="W30" s="5">
        <v>288</v>
      </c>
      <c r="X30" s="47">
        <f t="shared" si="2"/>
        <v>459054.29474289005</v>
      </c>
      <c r="Y30" s="5"/>
      <c r="Z30" s="48"/>
      <c r="AA30" s="5">
        <f t="shared" si="3"/>
        <v>288</v>
      </c>
      <c r="AB30" s="49">
        <f t="shared" si="4"/>
        <v>459054.29474289005</v>
      </c>
    </row>
    <row r="31" spans="1:28" ht="20.100000000000001" customHeight="1" x14ac:dyDescent="0.3">
      <c r="A31" s="19"/>
      <c r="B31" s="20"/>
      <c r="C31" s="21"/>
      <c r="D31" s="21"/>
      <c r="E31" s="21"/>
      <c r="F31" s="21"/>
      <c r="G31" s="21"/>
      <c r="H31" s="21"/>
      <c r="I31" s="21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5">
        <f t="shared" si="0"/>
        <v>0</v>
      </c>
      <c r="V31" s="5"/>
      <c r="W31" s="5"/>
      <c r="X31" s="47">
        <f t="shared" si="2"/>
        <v>0</v>
      </c>
      <c r="Y31" s="5"/>
      <c r="Z31" s="48"/>
      <c r="AA31" s="5"/>
      <c r="AB31" s="49"/>
    </row>
    <row r="32" spans="1:28" ht="20.100000000000001" customHeight="1" x14ac:dyDescent="0.3">
      <c r="A32" s="4" t="s">
        <v>68</v>
      </c>
      <c r="B32" s="5">
        <v>400</v>
      </c>
      <c r="C32" s="5" t="s">
        <v>38</v>
      </c>
      <c r="D32" s="5" t="s">
        <v>24</v>
      </c>
      <c r="E32" s="5" t="s">
        <v>56</v>
      </c>
      <c r="F32" s="5" t="s">
        <v>52</v>
      </c>
      <c r="G32" s="5" t="s">
        <v>67</v>
      </c>
      <c r="H32" s="5" t="s">
        <v>28</v>
      </c>
      <c r="I32" s="5" t="s">
        <v>69</v>
      </c>
      <c r="J32" s="5">
        <v>6</v>
      </c>
      <c r="K32" s="5">
        <v>1</v>
      </c>
      <c r="L32" s="6">
        <v>6</v>
      </c>
      <c r="M32" s="6"/>
      <c r="N32" s="5">
        <v>6</v>
      </c>
      <c r="O32" s="7">
        <v>6999</v>
      </c>
      <c r="P32" s="5"/>
      <c r="Q32" s="8">
        <f t="shared" ref="Q32" si="9">O32</f>
        <v>6999</v>
      </c>
      <c r="R32" s="9">
        <v>0.45</v>
      </c>
      <c r="S32" s="9">
        <v>0.18</v>
      </c>
      <c r="T32" s="10">
        <v>2764.6150531456478</v>
      </c>
      <c r="U32" s="24">
        <f t="shared" si="0"/>
        <v>36</v>
      </c>
      <c r="V32" s="5">
        <v>4</v>
      </c>
      <c r="W32" s="5">
        <v>72</v>
      </c>
      <c r="X32" s="47">
        <f t="shared" si="2"/>
        <v>199052.28382648664</v>
      </c>
      <c r="Y32" s="5"/>
      <c r="Z32" s="48"/>
      <c r="AA32" s="5">
        <f t="shared" si="3"/>
        <v>72</v>
      </c>
      <c r="AB32" s="49">
        <f t="shared" si="4"/>
        <v>199052.28382648664</v>
      </c>
    </row>
    <row r="33" spans="1:28" ht="20.100000000000001" customHeight="1" x14ac:dyDescent="0.3">
      <c r="A33" s="4" t="s">
        <v>70</v>
      </c>
      <c r="B33" s="5">
        <v>400</v>
      </c>
      <c r="C33" s="5" t="s">
        <v>38</v>
      </c>
      <c r="D33" s="5" t="s">
        <v>71</v>
      </c>
      <c r="E33" s="5" t="s">
        <v>56</v>
      </c>
      <c r="F33" s="5" t="s">
        <v>52</v>
      </c>
      <c r="G33" s="5" t="s">
        <v>67</v>
      </c>
      <c r="H33" s="5" t="s">
        <v>28</v>
      </c>
      <c r="I33" s="5" t="s">
        <v>69</v>
      </c>
      <c r="J33" s="5">
        <v>6</v>
      </c>
      <c r="K33" s="5">
        <v>1</v>
      </c>
      <c r="L33" s="6"/>
      <c r="M33" s="6">
        <v>6</v>
      </c>
      <c r="N33" s="5">
        <v>6</v>
      </c>
      <c r="O33" s="7">
        <v>7599</v>
      </c>
      <c r="P33" s="5"/>
      <c r="Q33" s="8">
        <v>7399</v>
      </c>
      <c r="R33" s="9">
        <v>0.45</v>
      </c>
      <c r="S33" s="9">
        <v>0.18</v>
      </c>
      <c r="T33" s="10">
        <v>2923</v>
      </c>
      <c r="U33" s="24">
        <f t="shared" si="0"/>
        <v>36</v>
      </c>
      <c r="V33" s="5">
        <v>4</v>
      </c>
      <c r="W33" s="5">
        <v>72</v>
      </c>
      <c r="X33" s="47">
        <f t="shared" si="2"/>
        <v>210456</v>
      </c>
      <c r="Y33" s="5"/>
      <c r="Z33" s="48"/>
      <c r="AA33" s="5">
        <f t="shared" si="3"/>
        <v>72</v>
      </c>
      <c r="AB33" s="49">
        <f t="shared" si="4"/>
        <v>210456</v>
      </c>
    </row>
    <row r="34" spans="1:28" ht="20.100000000000001" customHeight="1" x14ac:dyDescent="0.3">
      <c r="A34" s="4" t="s">
        <v>72</v>
      </c>
      <c r="B34" s="5">
        <v>300</v>
      </c>
      <c r="C34" s="5" t="s">
        <v>38</v>
      </c>
      <c r="D34" s="5" t="s">
        <v>71</v>
      </c>
      <c r="E34" s="5" t="s">
        <v>56</v>
      </c>
      <c r="F34" s="5" t="s">
        <v>52</v>
      </c>
      <c r="G34" s="5" t="s">
        <v>67</v>
      </c>
      <c r="H34" s="5" t="s">
        <v>28</v>
      </c>
      <c r="I34" s="5" t="s">
        <v>69</v>
      </c>
      <c r="J34" s="5">
        <v>6</v>
      </c>
      <c r="K34" s="5">
        <v>1</v>
      </c>
      <c r="L34" s="6"/>
      <c r="M34" s="6">
        <v>6</v>
      </c>
      <c r="N34" s="5">
        <v>6</v>
      </c>
      <c r="O34" s="7">
        <v>7399</v>
      </c>
      <c r="P34" s="5"/>
      <c r="Q34" s="8">
        <v>7299</v>
      </c>
      <c r="R34" s="9">
        <v>0.45</v>
      </c>
      <c r="S34" s="9">
        <v>0.18</v>
      </c>
      <c r="T34" s="10">
        <v>2883</v>
      </c>
      <c r="U34" s="24">
        <f t="shared" si="0"/>
        <v>36</v>
      </c>
      <c r="V34" s="5">
        <v>4</v>
      </c>
      <c r="W34" s="5">
        <v>72</v>
      </c>
      <c r="X34" s="47">
        <f t="shared" si="2"/>
        <v>207576</v>
      </c>
      <c r="Y34" s="5"/>
      <c r="Z34" s="48"/>
      <c r="AA34" s="5">
        <f t="shared" si="3"/>
        <v>72</v>
      </c>
      <c r="AB34" s="49">
        <f t="shared" si="4"/>
        <v>207576</v>
      </c>
    </row>
    <row r="35" spans="1:28" ht="20.100000000000001" customHeight="1" x14ac:dyDescent="0.3">
      <c r="A35" s="4" t="s">
        <v>73</v>
      </c>
      <c r="B35" s="5">
        <v>180</v>
      </c>
      <c r="C35" s="5" t="s">
        <v>38</v>
      </c>
      <c r="D35" s="5" t="s">
        <v>24</v>
      </c>
      <c r="E35" s="5" t="s">
        <v>56</v>
      </c>
      <c r="F35" s="5" t="s">
        <v>52</v>
      </c>
      <c r="G35" s="5" t="s">
        <v>67</v>
      </c>
      <c r="H35" s="5" t="s">
        <v>28</v>
      </c>
      <c r="I35" s="5" t="s">
        <v>69</v>
      </c>
      <c r="J35" s="5">
        <v>12</v>
      </c>
      <c r="K35" s="5">
        <v>1</v>
      </c>
      <c r="L35" s="5">
        <v>6</v>
      </c>
      <c r="M35" s="5"/>
      <c r="N35" s="5">
        <v>6</v>
      </c>
      <c r="O35" s="7">
        <v>4799</v>
      </c>
      <c r="P35" s="5"/>
      <c r="Q35" s="8">
        <v>4599</v>
      </c>
      <c r="R35" s="9">
        <v>0.4</v>
      </c>
      <c r="S35" s="9">
        <v>0.18</v>
      </c>
      <c r="T35" s="10">
        <v>1982</v>
      </c>
      <c r="U35" s="24">
        <f t="shared" si="0"/>
        <v>72</v>
      </c>
      <c r="V35" s="5">
        <v>4</v>
      </c>
      <c r="W35" s="5">
        <v>72</v>
      </c>
      <c r="X35" s="47">
        <f t="shared" si="2"/>
        <v>142704</v>
      </c>
      <c r="Y35" s="5"/>
      <c r="Z35" s="48"/>
      <c r="AA35" s="5">
        <f t="shared" si="3"/>
        <v>72</v>
      </c>
      <c r="AB35" s="49">
        <f t="shared" si="4"/>
        <v>142704</v>
      </c>
    </row>
    <row r="36" spans="1:28" ht="20.100000000000001" customHeight="1" x14ac:dyDescent="0.3">
      <c r="A36" s="4" t="s">
        <v>74</v>
      </c>
      <c r="B36" s="5">
        <v>220</v>
      </c>
      <c r="C36" s="5" t="s">
        <v>38</v>
      </c>
      <c r="D36" s="5" t="s">
        <v>24</v>
      </c>
      <c r="E36" s="5" t="s">
        <v>56</v>
      </c>
      <c r="F36" s="5" t="s">
        <v>52</v>
      </c>
      <c r="G36" s="5" t="s">
        <v>67</v>
      </c>
      <c r="H36" s="5" t="s">
        <v>28</v>
      </c>
      <c r="I36" s="5" t="s">
        <v>69</v>
      </c>
      <c r="J36" s="5">
        <v>12</v>
      </c>
      <c r="K36" s="5">
        <v>1</v>
      </c>
      <c r="L36" s="5">
        <v>6</v>
      </c>
      <c r="M36" s="5"/>
      <c r="N36" s="5">
        <v>6</v>
      </c>
      <c r="O36" s="7">
        <v>5199</v>
      </c>
      <c r="P36" s="5"/>
      <c r="Q36" s="8">
        <v>3999</v>
      </c>
      <c r="R36" s="9">
        <v>0.4</v>
      </c>
      <c r="S36" s="9">
        <v>0.18</v>
      </c>
      <c r="T36" s="10">
        <v>1723</v>
      </c>
      <c r="U36" s="24">
        <f t="shared" si="0"/>
        <v>72</v>
      </c>
      <c r="V36" s="5">
        <v>4</v>
      </c>
      <c r="W36" s="5">
        <v>72</v>
      </c>
      <c r="X36" s="47">
        <f t="shared" si="2"/>
        <v>124056</v>
      </c>
      <c r="Y36" s="5"/>
      <c r="Z36" s="48"/>
      <c r="AA36" s="5">
        <f t="shared" si="3"/>
        <v>72</v>
      </c>
      <c r="AB36" s="49">
        <f t="shared" si="4"/>
        <v>124056</v>
      </c>
    </row>
    <row r="37" spans="1:28" ht="20.100000000000001" customHeight="1" x14ac:dyDescent="0.3">
      <c r="A37" s="4" t="s">
        <v>75</v>
      </c>
      <c r="B37" s="5">
        <v>300</v>
      </c>
      <c r="C37" s="5" t="s">
        <v>38</v>
      </c>
      <c r="D37" s="5" t="s">
        <v>71</v>
      </c>
      <c r="E37" s="5" t="s">
        <v>56</v>
      </c>
      <c r="F37" s="5" t="s">
        <v>52</v>
      </c>
      <c r="G37" s="5" t="s">
        <v>67</v>
      </c>
      <c r="H37" s="5" t="s">
        <v>28</v>
      </c>
      <c r="I37" s="5" t="s">
        <v>69</v>
      </c>
      <c r="J37" s="5">
        <v>12</v>
      </c>
      <c r="K37" s="5">
        <v>1</v>
      </c>
      <c r="L37" s="6"/>
      <c r="M37" s="6">
        <v>6</v>
      </c>
      <c r="N37" s="5">
        <v>6</v>
      </c>
      <c r="O37" s="7">
        <v>6699</v>
      </c>
      <c r="P37" s="5"/>
      <c r="Q37" s="8">
        <v>6599</v>
      </c>
      <c r="R37" s="9">
        <v>0.45</v>
      </c>
      <c r="S37" s="9">
        <v>0.18</v>
      </c>
      <c r="T37" s="10">
        <v>2607</v>
      </c>
      <c r="U37" s="24">
        <f t="shared" si="0"/>
        <v>72</v>
      </c>
      <c r="V37" s="5">
        <v>4</v>
      </c>
      <c r="W37" s="5">
        <v>72</v>
      </c>
      <c r="X37" s="47">
        <f t="shared" si="2"/>
        <v>187704</v>
      </c>
      <c r="Y37" s="5"/>
      <c r="Z37" s="48"/>
      <c r="AA37" s="5">
        <f t="shared" si="3"/>
        <v>72</v>
      </c>
      <c r="AB37" s="49">
        <f t="shared" si="4"/>
        <v>187704</v>
      </c>
    </row>
    <row r="38" spans="1:28" ht="20.100000000000001" customHeight="1" x14ac:dyDescent="0.3">
      <c r="A38" s="20"/>
      <c r="B38" s="20"/>
      <c r="C38" s="21"/>
      <c r="D38" s="21"/>
      <c r="E38" s="21"/>
      <c r="F38" s="21"/>
      <c r="G38" s="21"/>
      <c r="H38" s="21"/>
      <c r="I38" s="21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5">
        <f t="shared" si="0"/>
        <v>0</v>
      </c>
      <c r="V38" s="5"/>
      <c r="W38" s="5"/>
      <c r="X38" s="47">
        <f t="shared" si="2"/>
        <v>0</v>
      </c>
      <c r="Y38" s="5"/>
      <c r="Z38" s="48"/>
      <c r="AA38" s="5"/>
      <c r="AB38" s="49"/>
    </row>
    <row r="39" spans="1:28" ht="20.100000000000001" customHeight="1" x14ac:dyDescent="0.3">
      <c r="A39" s="4" t="s">
        <v>76</v>
      </c>
      <c r="B39" s="5">
        <v>180</v>
      </c>
      <c r="C39" s="5" t="s">
        <v>31</v>
      </c>
      <c r="D39" s="5" t="s">
        <v>54</v>
      </c>
      <c r="E39" s="5" t="s">
        <v>77</v>
      </c>
      <c r="F39" s="5" t="s">
        <v>52</v>
      </c>
      <c r="G39" s="5" t="s">
        <v>34</v>
      </c>
      <c r="H39" s="5" t="s">
        <v>28</v>
      </c>
      <c r="I39" s="5" t="s">
        <v>78</v>
      </c>
      <c r="J39" s="13">
        <v>12</v>
      </c>
      <c r="K39" s="5">
        <v>1</v>
      </c>
      <c r="L39" s="14"/>
      <c r="M39" s="14">
        <v>1</v>
      </c>
      <c r="N39" s="5">
        <v>1</v>
      </c>
      <c r="O39" s="7">
        <v>2499</v>
      </c>
      <c r="P39" s="5"/>
      <c r="Q39" s="8">
        <f t="shared" ref="Q39:Q47" si="10">O39</f>
        <v>2499</v>
      </c>
      <c r="R39" s="9">
        <v>0.35</v>
      </c>
      <c r="S39" s="9">
        <v>0.18</v>
      </c>
      <c r="T39" s="10">
        <v>1311.0169491525423</v>
      </c>
      <c r="U39" s="24">
        <f t="shared" si="0"/>
        <v>12</v>
      </c>
      <c r="V39" s="5">
        <v>2</v>
      </c>
      <c r="W39" s="5">
        <v>144</v>
      </c>
      <c r="X39" s="47">
        <f t="shared" si="2"/>
        <v>188786.44067796611</v>
      </c>
      <c r="Y39" s="5"/>
      <c r="Z39" s="48"/>
      <c r="AA39" s="5">
        <f t="shared" si="3"/>
        <v>144</v>
      </c>
      <c r="AB39" s="49">
        <f t="shared" si="4"/>
        <v>188786.44067796611</v>
      </c>
    </row>
    <row r="40" spans="1:28" ht="20.100000000000001" customHeight="1" x14ac:dyDescent="0.3">
      <c r="A40" s="4" t="s">
        <v>76</v>
      </c>
      <c r="B40" s="5">
        <v>180</v>
      </c>
      <c r="C40" s="5" t="s">
        <v>79</v>
      </c>
      <c r="D40" s="5" t="s">
        <v>24</v>
      </c>
      <c r="E40" s="5" t="s">
        <v>61</v>
      </c>
      <c r="F40" s="5" t="s">
        <v>52</v>
      </c>
      <c r="G40" s="5" t="s">
        <v>34</v>
      </c>
      <c r="H40" s="5" t="s">
        <v>28</v>
      </c>
      <c r="I40" s="5" t="s">
        <v>78</v>
      </c>
      <c r="J40" s="13">
        <v>12</v>
      </c>
      <c r="K40" s="5">
        <v>1</v>
      </c>
      <c r="L40" s="14"/>
      <c r="M40" s="14">
        <v>1</v>
      </c>
      <c r="N40" s="5">
        <v>1</v>
      </c>
      <c r="O40" s="7">
        <v>2399</v>
      </c>
      <c r="P40" s="5"/>
      <c r="Q40" s="8">
        <f t="shared" si="10"/>
        <v>2399</v>
      </c>
      <c r="R40" s="9">
        <v>0.35</v>
      </c>
      <c r="S40" s="9">
        <v>0.18</v>
      </c>
      <c r="T40" s="10">
        <v>1258.5552865213883</v>
      </c>
      <c r="U40" s="24">
        <f t="shared" si="0"/>
        <v>12</v>
      </c>
      <c r="V40" s="5">
        <v>2</v>
      </c>
      <c r="W40" s="5">
        <f t="shared" si="1"/>
        <v>24</v>
      </c>
      <c r="X40" s="47">
        <f t="shared" si="2"/>
        <v>30205.326876513318</v>
      </c>
      <c r="Y40" s="5"/>
      <c r="Z40" s="48"/>
      <c r="AA40" s="5">
        <f t="shared" si="3"/>
        <v>24</v>
      </c>
      <c r="AB40" s="49">
        <f t="shared" si="4"/>
        <v>30205.326876513318</v>
      </c>
    </row>
    <row r="41" spans="1:28" ht="20.100000000000001" customHeight="1" x14ac:dyDescent="0.3">
      <c r="A41" s="4" t="s">
        <v>76</v>
      </c>
      <c r="B41" s="5">
        <v>180</v>
      </c>
      <c r="C41" s="5" t="s">
        <v>38</v>
      </c>
      <c r="D41" s="5" t="s">
        <v>24</v>
      </c>
      <c r="E41" s="5" t="s">
        <v>56</v>
      </c>
      <c r="F41" s="5" t="s">
        <v>52</v>
      </c>
      <c r="G41" s="5" t="s">
        <v>34</v>
      </c>
      <c r="H41" s="5" t="s">
        <v>28</v>
      </c>
      <c r="I41" s="5" t="s">
        <v>78</v>
      </c>
      <c r="J41" s="13">
        <v>12</v>
      </c>
      <c r="K41" s="5">
        <v>1</v>
      </c>
      <c r="L41" s="14"/>
      <c r="M41" s="14">
        <v>1</v>
      </c>
      <c r="N41" s="5">
        <v>1</v>
      </c>
      <c r="O41" s="7">
        <v>2499</v>
      </c>
      <c r="P41" s="5"/>
      <c r="Q41" s="8">
        <f t="shared" si="10"/>
        <v>2499</v>
      </c>
      <c r="R41" s="9">
        <v>0.35</v>
      </c>
      <c r="S41" s="9">
        <v>0.18</v>
      </c>
      <c r="T41" s="10">
        <v>1311.0169491525423</v>
      </c>
      <c r="U41" s="24">
        <f t="shared" si="0"/>
        <v>12</v>
      </c>
      <c r="V41" s="5">
        <v>2</v>
      </c>
      <c r="W41" s="5">
        <v>96</v>
      </c>
      <c r="X41" s="47">
        <f t="shared" si="2"/>
        <v>125857.62711864407</v>
      </c>
      <c r="Y41" s="5"/>
      <c r="Z41" s="48"/>
      <c r="AA41" s="5">
        <f t="shared" si="3"/>
        <v>96</v>
      </c>
      <c r="AB41" s="49">
        <f t="shared" si="4"/>
        <v>125857.62711864407</v>
      </c>
    </row>
    <row r="42" spans="1:28" ht="20.100000000000001" customHeight="1" x14ac:dyDescent="0.3">
      <c r="A42" s="4" t="s">
        <v>80</v>
      </c>
      <c r="B42" s="5">
        <v>120</v>
      </c>
      <c r="C42" s="5" t="s">
        <v>23</v>
      </c>
      <c r="D42" s="5" t="s">
        <v>24</v>
      </c>
      <c r="E42" s="5" t="s">
        <v>81</v>
      </c>
      <c r="F42" s="5" t="s">
        <v>52</v>
      </c>
      <c r="G42" s="5" t="s">
        <v>34</v>
      </c>
      <c r="H42" s="5" t="s">
        <v>28</v>
      </c>
      <c r="I42" s="5" t="s">
        <v>78</v>
      </c>
      <c r="J42" s="13">
        <v>12</v>
      </c>
      <c r="K42" s="5">
        <v>1</v>
      </c>
      <c r="L42" s="14"/>
      <c r="M42" s="14">
        <v>1</v>
      </c>
      <c r="N42" s="5">
        <v>1</v>
      </c>
      <c r="O42" s="7">
        <v>1899</v>
      </c>
      <c r="P42" s="5"/>
      <c r="Q42" s="8">
        <f t="shared" si="10"/>
        <v>1899</v>
      </c>
      <c r="R42" s="9">
        <v>0.35</v>
      </c>
      <c r="S42" s="9">
        <v>0.18</v>
      </c>
      <c r="T42" s="10">
        <v>996.24697336561746</v>
      </c>
      <c r="U42" s="24">
        <f t="shared" si="0"/>
        <v>12</v>
      </c>
      <c r="V42" s="5">
        <v>2</v>
      </c>
      <c r="W42" s="5">
        <f t="shared" si="1"/>
        <v>24</v>
      </c>
      <c r="X42" s="47">
        <f t="shared" si="2"/>
        <v>23909.927360774818</v>
      </c>
      <c r="Y42" s="5"/>
      <c r="Z42" s="48"/>
      <c r="AA42" s="5">
        <f t="shared" si="3"/>
        <v>24</v>
      </c>
      <c r="AB42" s="49">
        <f t="shared" si="4"/>
        <v>23909.927360774818</v>
      </c>
    </row>
    <row r="43" spans="1:28" ht="20.100000000000001" customHeight="1" x14ac:dyDescent="0.3">
      <c r="A43" s="4" t="s">
        <v>80</v>
      </c>
      <c r="B43" s="5">
        <v>120</v>
      </c>
      <c r="C43" s="5" t="s">
        <v>31</v>
      </c>
      <c r="D43" s="5" t="s">
        <v>54</v>
      </c>
      <c r="E43" s="5" t="s">
        <v>82</v>
      </c>
      <c r="F43" s="5" t="s">
        <v>52</v>
      </c>
      <c r="G43" s="5" t="s">
        <v>34</v>
      </c>
      <c r="H43" s="5" t="s">
        <v>28</v>
      </c>
      <c r="I43" s="5" t="s">
        <v>78</v>
      </c>
      <c r="J43" s="13">
        <v>12</v>
      </c>
      <c r="K43" s="5">
        <v>1</v>
      </c>
      <c r="L43" s="14"/>
      <c r="M43" s="14">
        <v>1</v>
      </c>
      <c r="N43" s="5">
        <v>1</v>
      </c>
      <c r="O43" s="7">
        <v>2049</v>
      </c>
      <c r="P43" s="5"/>
      <c r="Q43" s="8">
        <f t="shared" si="10"/>
        <v>2049</v>
      </c>
      <c r="R43" s="9">
        <v>0.35</v>
      </c>
      <c r="S43" s="9">
        <v>0.18</v>
      </c>
      <c r="T43" s="10">
        <v>1074.9394673123488</v>
      </c>
      <c r="U43" s="24">
        <f t="shared" si="0"/>
        <v>12</v>
      </c>
      <c r="V43" s="5">
        <v>2</v>
      </c>
      <c r="W43" s="5">
        <v>96</v>
      </c>
      <c r="X43" s="47">
        <f t="shared" si="2"/>
        <v>103194.18886198549</v>
      </c>
      <c r="Y43" s="5"/>
      <c r="Z43" s="48"/>
      <c r="AA43" s="5">
        <f t="shared" si="3"/>
        <v>96</v>
      </c>
      <c r="AB43" s="49">
        <f t="shared" si="4"/>
        <v>103194.18886198549</v>
      </c>
    </row>
    <row r="44" spans="1:28" ht="20.100000000000001" customHeight="1" x14ac:dyDescent="0.3">
      <c r="A44" s="4" t="s">
        <v>80</v>
      </c>
      <c r="B44" s="5">
        <v>120</v>
      </c>
      <c r="C44" s="5" t="s">
        <v>38</v>
      </c>
      <c r="D44" s="5" t="s">
        <v>24</v>
      </c>
      <c r="E44" s="5" t="s">
        <v>56</v>
      </c>
      <c r="F44" s="5" t="s">
        <v>52</v>
      </c>
      <c r="G44" s="5" t="s">
        <v>34</v>
      </c>
      <c r="H44" s="5" t="s">
        <v>28</v>
      </c>
      <c r="I44" s="5" t="s">
        <v>78</v>
      </c>
      <c r="J44" s="13">
        <v>12</v>
      </c>
      <c r="K44" s="5">
        <v>1</v>
      </c>
      <c r="L44" s="14"/>
      <c r="M44" s="14">
        <v>1</v>
      </c>
      <c r="N44" s="5">
        <v>1</v>
      </c>
      <c r="O44" s="7">
        <v>2199</v>
      </c>
      <c r="P44" s="5"/>
      <c r="Q44" s="8">
        <f t="shared" si="10"/>
        <v>2199</v>
      </c>
      <c r="R44" s="9">
        <v>0.35</v>
      </c>
      <c r="S44" s="9">
        <v>0.18</v>
      </c>
      <c r="T44" s="10">
        <v>1153.6319612590798</v>
      </c>
      <c r="U44" s="24">
        <f t="shared" si="0"/>
        <v>12</v>
      </c>
      <c r="V44" s="5">
        <v>2</v>
      </c>
      <c r="W44" s="5">
        <f t="shared" si="1"/>
        <v>24</v>
      </c>
      <c r="X44" s="47">
        <f t="shared" si="2"/>
        <v>27687.167070217918</v>
      </c>
      <c r="Y44" s="5"/>
      <c r="Z44" s="48"/>
      <c r="AA44" s="5">
        <f t="shared" si="3"/>
        <v>24</v>
      </c>
      <c r="AB44" s="49">
        <f t="shared" si="4"/>
        <v>27687.167070217918</v>
      </c>
    </row>
    <row r="45" spans="1:28" ht="20.100000000000001" customHeight="1" x14ac:dyDescent="0.3">
      <c r="A45" s="4" t="s">
        <v>83</v>
      </c>
      <c r="B45" s="13">
        <v>164</v>
      </c>
      <c r="C45" s="5" t="s">
        <v>31</v>
      </c>
      <c r="D45" s="5" t="s">
        <v>54</v>
      </c>
      <c r="E45" s="5" t="s">
        <v>77</v>
      </c>
      <c r="F45" s="5" t="s">
        <v>52</v>
      </c>
      <c r="G45" s="5" t="s">
        <v>34</v>
      </c>
      <c r="H45" s="5" t="s">
        <v>28</v>
      </c>
      <c r="I45" s="5" t="s">
        <v>84</v>
      </c>
      <c r="J45" s="13">
        <v>12</v>
      </c>
      <c r="K45" s="5">
        <v>5</v>
      </c>
      <c r="L45" s="14">
        <v>5</v>
      </c>
      <c r="M45" s="14"/>
      <c r="N45" s="5">
        <v>1</v>
      </c>
      <c r="O45" s="7">
        <v>2999</v>
      </c>
      <c r="P45" s="5"/>
      <c r="Q45" s="8">
        <f t="shared" si="10"/>
        <v>2999</v>
      </c>
      <c r="R45" s="9">
        <v>0.35</v>
      </c>
      <c r="S45" s="9">
        <v>0.18</v>
      </c>
      <c r="T45" s="10">
        <v>1399.9928181557025</v>
      </c>
      <c r="U45" s="24">
        <f t="shared" si="0"/>
        <v>12</v>
      </c>
      <c r="V45" s="5">
        <v>8</v>
      </c>
      <c r="W45" s="5">
        <f t="shared" si="1"/>
        <v>96</v>
      </c>
      <c r="X45" s="47">
        <f t="shared" si="2"/>
        <v>134399.31054294744</v>
      </c>
      <c r="Y45" s="5"/>
      <c r="Z45" s="48"/>
      <c r="AA45" s="5">
        <f t="shared" si="3"/>
        <v>96</v>
      </c>
      <c r="AB45" s="49">
        <f t="shared" si="4"/>
        <v>134399.31054294744</v>
      </c>
    </row>
    <row r="46" spans="1:28" ht="20.100000000000001" customHeight="1" x14ac:dyDescent="0.3">
      <c r="A46" s="4" t="s">
        <v>83</v>
      </c>
      <c r="B46" s="13">
        <v>164</v>
      </c>
      <c r="C46" s="5" t="s">
        <v>38</v>
      </c>
      <c r="D46" s="5" t="s">
        <v>24</v>
      </c>
      <c r="E46" s="5" t="s">
        <v>56</v>
      </c>
      <c r="F46" s="5" t="s">
        <v>52</v>
      </c>
      <c r="G46" s="5" t="s">
        <v>34</v>
      </c>
      <c r="H46" s="5" t="s">
        <v>28</v>
      </c>
      <c r="I46" s="5" t="s">
        <v>84</v>
      </c>
      <c r="J46" s="13">
        <v>12</v>
      </c>
      <c r="K46" s="5">
        <v>5</v>
      </c>
      <c r="L46" s="14">
        <v>5</v>
      </c>
      <c r="M46" s="14"/>
      <c r="N46" s="5">
        <v>1</v>
      </c>
      <c r="O46" s="7">
        <v>3099</v>
      </c>
      <c r="P46" s="5"/>
      <c r="Q46" s="8">
        <f t="shared" si="10"/>
        <v>3099</v>
      </c>
      <c r="R46" s="9">
        <v>0.35</v>
      </c>
      <c r="S46" s="9">
        <v>0.18</v>
      </c>
      <c r="T46" s="10">
        <v>1446.6748060902041</v>
      </c>
      <c r="U46" s="24">
        <f t="shared" si="0"/>
        <v>12</v>
      </c>
      <c r="V46" s="5">
        <v>6</v>
      </c>
      <c r="W46" s="5">
        <f t="shared" si="1"/>
        <v>72</v>
      </c>
      <c r="X46" s="47">
        <f t="shared" si="2"/>
        <v>104160.5860384947</v>
      </c>
      <c r="Y46" s="5"/>
      <c r="Z46" s="48"/>
      <c r="AA46" s="5">
        <f t="shared" si="3"/>
        <v>72</v>
      </c>
      <c r="AB46" s="49">
        <f t="shared" si="4"/>
        <v>104160.5860384947</v>
      </c>
    </row>
    <row r="47" spans="1:28" ht="20.100000000000001" customHeight="1" x14ac:dyDescent="0.3">
      <c r="A47" s="4" t="s">
        <v>85</v>
      </c>
      <c r="B47" s="5">
        <v>400</v>
      </c>
      <c r="C47" s="5" t="s">
        <v>38</v>
      </c>
      <c r="D47" s="5" t="s">
        <v>24</v>
      </c>
      <c r="E47" s="5" t="s">
        <v>56</v>
      </c>
      <c r="F47" s="5" t="s">
        <v>52</v>
      </c>
      <c r="G47" s="5" t="s">
        <v>34</v>
      </c>
      <c r="H47" s="5" t="s">
        <v>28</v>
      </c>
      <c r="I47" s="5" t="s">
        <v>84</v>
      </c>
      <c r="J47" s="5">
        <v>12</v>
      </c>
      <c r="K47" s="5">
        <v>7</v>
      </c>
      <c r="L47" s="14">
        <v>7</v>
      </c>
      <c r="M47" s="14"/>
      <c r="N47" s="5">
        <v>1</v>
      </c>
      <c r="O47" s="7">
        <v>4299</v>
      </c>
      <c r="P47" s="5"/>
      <c r="Q47" s="8">
        <f t="shared" si="10"/>
        <v>4299</v>
      </c>
      <c r="R47" s="9">
        <v>0.35</v>
      </c>
      <c r="S47" s="9">
        <v>0.18</v>
      </c>
      <c r="T47" s="10">
        <v>2006.858661304223</v>
      </c>
      <c r="U47" s="24">
        <f t="shared" si="0"/>
        <v>12</v>
      </c>
      <c r="V47" s="5">
        <v>8</v>
      </c>
      <c r="W47" s="5">
        <f t="shared" si="1"/>
        <v>96</v>
      </c>
      <c r="X47" s="47">
        <f t="shared" si="2"/>
        <v>192658.43148520542</v>
      </c>
      <c r="Y47" s="5"/>
      <c r="Z47" s="48"/>
      <c r="AA47" s="5">
        <f t="shared" si="3"/>
        <v>96</v>
      </c>
      <c r="AB47" s="49">
        <f t="shared" si="4"/>
        <v>192658.43148520542</v>
      </c>
    </row>
    <row r="48" spans="1:28" ht="20.100000000000001" customHeight="1" x14ac:dyDescent="0.3">
      <c r="A48" s="4" t="s">
        <v>86</v>
      </c>
      <c r="B48" s="15">
        <v>300</v>
      </c>
      <c r="C48" s="5" t="s">
        <v>38</v>
      </c>
      <c r="D48" s="5" t="s">
        <v>24</v>
      </c>
      <c r="E48" s="5" t="s">
        <v>56</v>
      </c>
      <c r="F48" s="5" t="s">
        <v>52</v>
      </c>
      <c r="G48" s="5" t="s">
        <v>34</v>
      </c>
      <c r="H48" s="5" t="s">
        <v>28</v>
      </c>
      <c r="I48" s="5" t="s">
        <v>84</v>
      </c>
      <c r="J48" s="13">
        <v>12</v>
      </c>
      <c r="K48" s="5">
        <v>6</v>
      </c>
      <c r="L48" s="14">
        <v>6</v>
      </c>
      <c r="M48" s="14"/>
      <c r="N48" s="5">
        <v>1</v>
      </c>
      <c r="O48" s="7">
        <v>3899</v>
      </c>
      <c r="P48" s="5"/>
      <c r="Q48" s="8">
        <v>3699</v>
      </c>
      <c r="R48" s="9">
        <v>0.35</v>
      </c>
      <c r="S48" s="9">
        <v>0.18</v>
      </c>
      <c r="T48" s="10">
        <v>1727</v>
      </c>
      <c r="U48" s="24">
        <f t="shared" si="0"/>
        <v>12</v>
      </c>
      <c r="V48" s="5">
        <v>8</v>
      </c>
      <c r="W48" s="5">
        <f t="shared" si="1"/>
        <v>96</v>
      </c>
      <c r="X48" s="47">
        <f t="shared" si="2"/>
        <v>165792</v>
      </c>
      <c r="Y48" s="5"/>
      <c r="Z48" s="48"/>
      <c r="AA48" s="5">
        <f t="shared" si="3"/>
        <v>96</v>
      </c>
      <c r="AB48" s="49">
        <f t="shared" si="4"/>
        <v>165792</v>
      </c>
    </row>
    <row r="49" spans="22:28" ht="20.100000000000001" customHeight="1" x14ac:dyDescent="0.3">
      <c r="V49" s="5"/>
      <c r="W49" s="3">
        <f>SUM(W3:W48)</f>
        <v>11316</v>
      </c>
      <c r="X49" s="50">
        <f>SUM(X3:X48)</f>
        <v>11878515.860631181</v>
      </c>
      <c r="Y49" s="50">
        <f>SUM(Y3:Y48)</f>
        <v>12552</v>
      </c>
      <c r="Z49" s="50">
        <f>SUM(Z3:Z48)</f>
        <v>13491311.84503632</v>
      </c>
      <c r="AA49" s="3">
        <f t="shared" si="3"/>
        <v>23868</v>
      </c>
      <c r="AB49" s="50">
        <f>SUM(AB3:AB48)</f>
        <v>25369827.705667499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Bombay Dyeing</dc:creator>
  <cp:lastModifiedBy>Prince Oberoi</cp:lastModifiedBy>
  <dcterms:created xsi:type="dcterms:W3CDTF">2026-06-09T10:56:11Z</dcterms:created>
  <dcterms:modified xsi:type="dcterms:W3CDTF">2026-06-21T14:04:38Z</dcterms:modified>
</cp:coreProperties>
</file>